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checkout\Downloads\"/>
    </mc:Choice>
  </mc:AlternateContent>
  <xr:revisionPtr revIDLastSave="0" documentId="13_ncr:1_{7FBD166D-BF13-44C2-B80B-888379C029D7}" xr6:coauthVersionLast="47" xr6:coauthVersionMax="47" xr10:uidLastSave="{00000000-0000-0000-0000-000000000000}"/>
  <bookViews>
    <workbookView xWindow="-108" yWindow="-108" windowWidth="23256" windowHeight="12456" tabRatio="734" activeTab="3" xr2:uid="{00000000-000D-0000-FFFF-FFFF00000000}"/>
  </bookViews>
  <sheets>
    <sheet name="Annual Marketing Budget" sheetId="5" r:id="rId1"/>
    <sheet name="PnL Projection" sheetId="7" r:id="rId2"/>
    <sheet name="12 month Cash Flow" sheetId="8" r:id="rId3"/>
    <sheet name="Balance Sheet" sheetId="10" r:id="rId4"/>
    <sheet name="Breakeven Analysis" sheetId="9" r:id="rId5"/>
    <sheet name="Sales Forecas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9" i="10" l="1"/>
  <c r="C59" i="10"/>
  <c r="E49" i="10"/>
  <c r="E51" i="10" s="1"/>
  <c r="C49" i="10"/>
  <c r="C51" i="10" s="1"/>
  <c r="E44" i="10"/>
  <c r="E53" i="10" s="1"/>
  <c r="E61" i="10" s="1"/>
  <c r="C44" i="10"/>
  <c r="C53" i="10" s="1"/>
  <c r="E31" i="10"/>
  <c r="C31" i="10"/>
  <c r="E24" i="10"/>
  <c r="C24" i="10"/>
  <c r="E15" i="10"/>
  <c r="E33" i="10" s="1"/>
  <c r="C15" i="10"/>
  <c r="C33" i="10" s="1"/>
  <c r="C61" i="10" l="1"/>
  <c r="D35" i="9"/>
  <c r="B33" i="9"/>
  <c r="N11" i="7"/>
  <c r="N10" i="7"/>
  <c r="O41" i="8"/>
  <c r="K41" i="8"/>
  <c r="J41" i="8"/>
  <c r="G41" i="8"/>
  <c r="F41" i="8"/>
  <c r="O35" i="8"/>
  <c r="N35" i="8"/>
  <c r="N41" i="8" s="1"/>
  <c r="M35" i="8"/>
  <c r="M41" i="8" s="1"/>
  <c r="L35" i="8"/>
  <c r="L41" i="8" s="1"/>
  <c r="K35" i="8"/>
  <c r="J35" i="8"/>
  <c r="I35" i="8"/>
  <c r="I41" i="8" s="1"/>
  <c r="H35" i="8"/>
  <c r="H41" i="8" s="1"/>
  <c r="G35" i="8"/>
  <c r="F35" i="8"/>
  <c r="E35" i="8"/>
  <c r="E41" i="8" s="1"/>
  <c r="D35" i="8"/>
  <c r="D41" i="8" s="1"/>
  <c r="C35" i="8"/>
  <c r="C41" i="8" s="1"/>
  <c r="B35" i="8"/>
  <c r="B41" i="8" s="1"/>
  <c r="B11" i="8"/>
  <c r="B42" i="8" s="1"/>
  <c r="O10" i="8"/>
  <c r="N10" i="8"/>
  <c r="M10" i="8"/>
  <c r="L10" i="8"/>
  <c r="K10" i="8"/>
  <c r="J10" i="8"/>
  <c r="I10" i="8"/>
  <c r="H10" i="8"/>
  <c r="G10" i="8"/>
  <c r="F10" i="8"/>
  <c r="E10" i="8"/>
  <c r="D10" i="8"/>
  <c r="C10" i="8"/>
  <c r="B10" i="8"/>
  <c r="C3" i="8"/>
  <c r="D3" i="8" s="1"/>
  <c r="E3" i="8" s="1"/>
  <c r="F3" i="8" s="1"/>
  <c r="G3" i="8" s="1"/>
  <c r="H3" i="8" s="1"/>
  <c r="I3" i="8" s="1"/>
  <c r="J3" i="8" s="1"/>
  <c r="K3" i="8" s="1"/>
  <c r="L3" i="8" s="1"/>
  <c r="M3" i="8" s="1"/>
  <c r="N3" i="8" s="1"/>
  <c r="B38" i="9" l="1"/>
  <c r="C11" i="8"/>
  <c r="C42" i="8" s="1"/>
  <c r="D4" i="8" s="1"/>
  <c r="D11" i="8" s="1"/>
  <c r="D42" i="8" s="1"/>
  <c r="E4" i="8" s="1"/>
  <c r="E11" i="8" s="1"/>
  <c r="E42" i="8" s="1"/>
  <c r="F4" i="8" s="1"/>
  <c r="F11" i="8" s="1"/>
  <c r="F42" i="8" s="1"/>
  <c r="G4" i="8" s="1"/>
  <c r="G11" i="8" s="1"/>
  <c r="G42" i="8" s="1"/>
  <c r="H4" i="8" s="1"/>
  <c r="H11" i="8" s="1"/>
  <c r="H42" i="8" s="1"/>
  <c r="I4" i="8" s="1"/>
  <c r="I11" i="8" s="1"/>
  <c r="I42" i="8" s="1"/>
  <c r="J4" i="8" s="1"/>
  <c r="J11" i="8" s="1"/>
  <c r="J42" i="8" s="1"/>
  <c r="K4" i="8" s="1"/>
  <c r="K11" i="8" s="1"/>
  <c r="K42" i="8" s="1"/>
  <c r="L4" i="8" s="1"/>
  <c r="L11" i="8" s="1"/>
  <c r="L42" i="8" s="1"/>
  <c r="M4" i="8" s="1"/>
  <c r="M11" i="8" s="1"/>
  <c r="M42" i="8" s="1"/>
  <c r="N4" i="8" s="1"/>
  <c r="N11" i="8" s="1"/>
  <c r="N42" i="8" s="1"/>
  <c r="O4" i="8"/>
  <c r="O11" i="8" s="1"/>
  <c r="O42" i="8" s="1"/>
  <c r="M51" i="7" l="1"/>
  <c r="L51" i="7"/>
  <c r="K51" i="7"/>
  <c r="J51" i="7"/>
  <c r="I51" i="7"/>
  <c r="I52" i="7" s="1"/>
  <c r="H51" i="7"/>
  <c r="H52" i="7" s="1"/>
  <c r="G51" i="7"/>
  <c r="G52" i="7" s="1"/>
  <c r="F51" i="7"/>
  <c r="F52" i="7" s="1"/>
  <c r="F53" i="7" s="1"/>
  <c r="E51" i="7"/>
  <c r="E52" i="7" s="1"/>
  <c r="E53" i="7" s="1"/>
  <c r="D51" i="7"/>
  <c r="C51" i="7"/>
  <c r="B51" i="7"/>
  <c r="N50" i="7"/>
  <c r="N49" i="7"/>
  <c r="N48" i="7"/>
  <c r="N47" i="7"/>
  <c r="N46" i="7"/>
  <c r="N45" i="7"/>
  <c r="N44" i="7"/>
  <c r="N43" i="7"/>
  <c r="N42" i="7"/>
  <c r="N41" i="7"/>
  <c r="N40" i="7"/>
  <c r="N39" i="7"/>
  <c r="N38" i="7"/>
  <c r="N37" i="7"/>
  <c r="N36" i="7"/>
  <c r="N35" i="7"/>
  <c r="N34" i="7"/>
  <c r="N33" i="7"/>
  <c r="N32" i="7"/>
  <c r="M27" i="7"/>
  <c r="L27" i="7"/>
  <c r="K27" i="7"/>
  <c r="K29" i="7" s="1"/>
  <c r="J27" i="7"/>
  <c r="I27" i="7"/>
  <c r="H27" i="7"/>
  <c r="G27" i="7"/>
  <c r="F27" i="7"/>
  <c r="E27" i="7"/>
  <c r="D27" i="7"/>
  <c r="C27" i="7"/>
  <c r="B27" i="7"/>
  <c r="N26" i="7"/>
  <c r="N25" i="7"/>
  <c r="N24" i="7"/>
  <c r="N23" i="7"/>
  <c r="N21" i="7"/>
  <c r="N20" i="7"/>
  <c r="M17" i="7"/>
  <c r="L17" i="7"/>
  <c r="K17" i="7"/>
  <c r="J17" i="7"/>
  <c r="I17" i="7"/>
  <c r="H17" i="7"/>
  <c r="G17" i="7"/>
  <c r="F17" i="7"/>
  <c r="E17" i="7"/>
  <c r="D17" i="7"/>
  <c r="C17" i="7"/>
  <c r="C29" i="7" s="1"/>
  <c r="B17" i="7"/>
  <c r="N16" i="7"/>
  <c r="N15" i="7"/>
  <c r="N14" i="7"/>
  <c r="N13" i="7"/>
  <c r="N12" i="7"/>
  <c r="C8" i="7"/>
  <c r="D8" i="7" s="1"/>
  <c r="E8" i="7" s="1"/>
  <c r="F8" i="7" s="1"/>
  <c r="G8" i="7" s="1"/>
  <c r="H8" i="7" s="1"/>
  <c r="I8" i="7" s="1"/>
  <c r="J8" i="7" s="1"/>
  <c r="K8" i="7" s="1"/>
  <c r="L8" i="7" s="1"/>
  <c r="M8" i="7" s="1"/>
  <c r="B8" i="7"/>
  <c r="C16" i="6"/>
  <c r="D16" i="6"/>
  <c r="E16" i="6"/>
  <c r="F16" i="6"/>
  <c r="G16" i="6"/>
  <c r="H16" i="6"/>
  <c r="I16" i="6"/>
  <c r="J16" i="6"/>
  <c r="K16" i="6"/>
  <c r="L16" i="6"/>
  <c r="M16" i="6"/>
  <c r="N16" i="6"/>
  <c r="B16" i="6"/>
  <c r="M14" i="6"/>
  <c r="L14" i="6"/>
  <c r="K14" i="6"/>
  <c r="J14" i="6"/>
  <c r="I14" i="6"/>
  <c r="H14" i="6"/>
  <c r="G14" i="6"/>
  <c r="F14" i="6"/>
  <c r="E14" i="6"/>
  <c r="D14" i="6"/>
  <c r="C14" i="6"/>
  <c r="B14" i="6"/>
  <c r="N12" i="6"/>
  <c r="M10" i="6"/>
  <c r="L10" i="6"/>
  <c r="K10" i="6"/>
  <c r="J10" i="6"/>
  <c r="I10" i="6"/>
  <c r="H10" i="6"/>
  <c r="G10" i="6"/>
  <c r="F10" i="6"/>
  <c r="E10" i="6"/>
  <c r="D10" i="6"/>
  <c r="C10" i="6"/>
  <c r="B10" i="6"/>
  <c r="N8" i="6"/>
  <c r="B7" i="6"/>
  <c r="C7" i="6" s="1"/>
  <c r="D7" i="6" s="1"/>
  <c r="E7" i="6" s="1"/>
  <c r="F7" i="6" s="1"/>
  <c r="G7" i="6" s="1"/>
  <c r="H7" i="6" s="1"/>
  <c r="I7" i="6" s="1"/>
  <c r="J7" i="6" s="1"/>
  <c r="K7" i="6" s="1"/>
  <c r="L7" i="6" s="1"/>
  <c r="M7" i="6" s="1"/>
  <c r="U40" i="5"/>
  <c r="U38" i="5"/>
  <c r="T59" i="5"/>
  <c r="T58" i="5"/>
  <c r="T56" i="5"/>
  <c r="T55" i="5"/>
  <c r="T54" i="5"/>
  <c r="T53" i="5"/>
  <c r="T52" i="5"/>
  <c r="T50" i="5"/>
  <c r="T49" i="5"/>
  <c r="T48" i="5"/>
  <c r="T46" i="5"/>
  <c r="T45" i="5"/>
  <c r="T44" i="5"/>
  <c r="U44" i="5" s="1"/>
  <c r="T41" i="5"/>
  <c r="U41" i="5" s="1"/>
  <c r="T40" i="5"/>
  <c r="T38" i="5"/>
  <c r="T37" i="5"/>
  <c r="T33" i="5"/>
  <c r="T32" i="5"/>
  <c r="T29" i="5"/>
  <c r="T28" i="5"/>
  <c r="T27" i="5"/>
  <c r="T26" i="5"/>
  <c r="T25" i="5"/>
  <c r="T22" i="5"/>
  <c r="T21" i="5"/>
  <c r="U21" i="5" s="1"/>
  <c r="T20" i="5"/>
  <c r="U20" i="5" s="1"/>
  <c r="T19" i="5"/>
  <c r="T16" i="5"/>
  <c r="T15" i="5"/>
  <c r="T14" i="5"/>
  <c r="T13" i="5"/>
  <c r="T12" i="5"/>
  <c r="T11" i="5"/>
  <c r="T8" i="5"/>
  <c r="T7" i="5"/>
  <c r="T6" i="5"/>
  <c r="U6" i="5" s="1"/>
  <c r="P59" i="5"/>
  <c r="P58" i="5"/>
  <c r="P56" i="5"/>
  <c r="P55" i="5"/>
  <c r="P54" i="5"/>
  <c r="P53" i="5"/>
  <c r="P52" i="5"/>
  <c r="P50" i="5"/>
  <c r="P49" i="5"/>
  <c r="P48" i="5"/>
  <c r="P46" i="5"/>
  <c r="P45" i="5"/>
  <c r="U45" i="5" s="1"/>
  <c r="P44" i="5"/>
  <c r="P41" i="5"/>
  <c r="P40" i="5"/>
  <c r="P38" i="5"/>
  <c r="P37" i="5"/>
  <c r="P33" i="5"/>
  <c r="P32" i="5"/>
  <c r="P29" i="5"/>
  <c r="P28" i="5"/>
  <c r="P27" i="5"/>
  <c r="P26" i="5"/>
  <c r="U26" i="5" s="1"/>
  <c r="P25" i="5"/>
  <c r="U25" i="5" s="1"/>
  <c r="P22" i="5"/>
  <c r="P21" i="5"/>
  <c r="P20" i="5"/>
  <c r="P19" i="5"/>
  <c r="P16" i="5"/>
  <c r="P15" i="5"/>
  <c r="P14" i="5"/>
  <c r="P13" i="5"/>
  <c r="P12" i="5"/>
  <c r="P11" i="5"/>
  <c r="P8" i="5"/>
  <c r="U8" i="5" s="1"/>
  <c r="P7" i="5"/>
  <c r="P6" i="5"/>
  <c r="L59" i="5"/>
  <c r="L58" i="5"/>
  <c r="L56" i="5"/>
  <c r="L55" i="5"/>
  <c r="L54" i="5"/>
  <c r="L53" i="5"/>
  <c r="L52" i="5"/>
  <c r="L50" i="5"/>
  <c r="L49" i="5"/>
  <c r="L48" i="5"/>
  <c r="L46" i="5"/>
  <c r="L45" i="5"/>
  <c r="L44" i="5"/>
  <c r="L41" i="5"/>
  <c r="L40" i="5"/>
  <c r="L38" i="5"/>
  <c r="L37" i="5"/>
  <c r="L33" i="5"/>
  <c r="L32" i="5"/>
  <c r="L29" i="5"/>
  <c r="L28" i="5"/>
  <c r="U28" i="5" s="1"/>
  <c r="L27" i="5"/>
  <c r="L26" i="5"/>
  <c r="L25" i="5"/>
  <c r="L22" i="5"/>
  <c r="L21" i="5"/>
  <c r="L20" i="5"/>
  <c r="L19" i="5"/>
  <c r="L16" i="5"/>
  <c r="L15" i="5"/>
  <c r="L14" i="5"/>
  <c r="L13" i="5"/>
  <c r="L12" i="5"/>
  <c r="U12" i="5" s="1"/>
  <c r="L11" i="5"/>
  <c r="L8" i="5"/>
  <c r="L7" i="5"/>
  <c r="L6" i="5"/>
  <c r="H59" i="5"/>
  <c r="U59" i="5" s="1"/>
  <c r="H58" i="5"/>
  <c r="U58" i="5" s="1"/>
  <c r="H56" i="5"/>
  <c r="U56" i="5" s="1"/>
  <c r="H55" i="5"/>
  <c r="U55" i="5" s="1"/>
  <c r="H54" i="5"/>
  <c r="U54" i="5" s="1"/>
  <c r="H53" i="5"/>
  <c r="U53" i="5" s="1"/>
  <c r="H52" i="5"/>
  <c r="U52" i="5" s="1"/>
  <c r="H50" i="5"/>
  <c r="U50" i="5" s="1"/>
  <c r="H49" i="5"/>
  <c r="U49" i="5" s="1"/>
  <c r="H48" i="5"/>
  <c r="U48" i="5" s="1"/>
  <c r="H46" i="5"/>
  <c r="U46" i="5" s="1"/>
  <c r="H45" i="5"/>
  <c r="H44" i="5"/>
  <c r="H41" i="5"/>
  <c r="H40" i="5"/>
  <c r="H38" i="5"/>
  <c r="H37" i="5"/>
  <c r="U37" i="5" s="1"/>
  <c r="H33" i="5"/>
  <c r="U33" i="5" s="1"/>
  <c r="H32" i="5"/>
  <c r="U32" i="5" s="1"/>
  <c r="H29" i="5"/>
  <c r="U29" i="5" s="1"/>
  <c r="H28" i="5"/>
  <c r="H27" i="5"/>
  <c r="U27" i="5" s="1"/>
  <c r="H26" i="5"/>
  <c r="H25" i="5"/>
  <c r="H22" i="5"/>
  <c r="H21" i="5"/>
  <c r="H20" i="5"/>
  <c r="H19" i="5"/>
  <c r="U19" i="5" s="1"/>
  <c r="H16" i="5"/>
  <c r="U16" i="5" s="1"/>
  <c r="H15" i="5"/>
  <c r="U15" i="5" s="1"/>
  <c r="H14" i="5"/>
  <c r="U14" i="5" s="1"/>
  <c r="H13" i="5"/>
  <c r="U13" i="5" s="1"/>
  <c r="H12" i="5"/>
  <c r="H11" i="5"/>
  <c r="U11" i="5" s="1"/>
  <c r="H8" i="5"/>
  <c r="H7" i="5"/>
  <c r="H6" i="5"/>
  <c r="N51" i="7" l="1"/>
  <c r="D29" i="7"/>
  <c r="G29" i="7"/>
  <c r="H29" i="7"/>
  <c r="H59" i="7" s="1"/>
  <c r="I29" i="7"/>
  <c r="E29" i="7"/>
  <c r="E59" i="7" s="1"/>
  <c r="F29" i="7"/>
  <c r="F55" i="7" s="1"/>
  <c r="J29" i="7"/>
  <c r="N27" i="7"/>
  <c r="L29" i="7"/>
  <c r="M29" i="7"/>
  <c r="B29" i="7"/>
  <c r="G53" i="7"/>
  <c r="G55" i="7" s="1"/>
  <c r="H53" i="7"/>
  <c r="J52" i="7"/>
  <c r="J53" i="7" s="1"/>
  <c r="I53" i="7"/>
  <c r="I55" i="7" s="1"/>
  <c r="K52" i="7"/>
  <c r="K53" i="7" s="1"/>
  <c r="L52" i="7"/>
  <c r="L53" i="7" s="1"/>
  <c r="M52" i="7"/>
  <c r="B52" i="7"/>
  <c r="B53" i="7" s="1"/>
  <c r="N17" i="7"/>
  <c r="N29" i="7" s="1"/>
  <c r="C52" i="7"/>
  <c r="C53" i="7" s="1"/>
  <c r="D52" i="7"/>
  <c r="D53" i="7" s="1"/>
  <c r="N14" i="6"/>
  <c r="N10" i="6"/>
  <c r="U22" i="5"/>
  <c r="P60" i="5"/>
  <c r="L60" i="5"/>
  <c r="H60" i="5"/>
  <c r="T60" i="5"/>
  <c r="U7" i="5"/>
  <c r="G59" i="7" l="1"/>
  <c r="I59" i="7"/>
  <c r="N52" i="7"/>
  <c r="N53" i="7" s="1"/>
  <c r="N59" i="7" s="1"/>
  <c r="H55" i="7"/>
  <c r="E55" i="7"/>
  <c r="F59" i="7"/>
  <c r="B59" i="7"/>
  <c r="J59" i="7"/>
  <c r="J55" i="7"/>
  <c r="D59" i="7"/>
  <c r="D55" i="7"/>
  <c r="C59" i="7"/>
  <c r="C55" i="7"/>
  <c r="L59" i="7"/>
  <c r="L55" i="7"/>
  <c r="K59" i="7"/>
  <c r="K55" i="7"/>
  <c r="B55" i="7"/>
  <c r="M53" i="7"/>
  <c r="U60" i="5"/>
  <c r="N55" i="7" l="1"/>
  <c r="M59" i="7"/>
  <c r="M5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author>
  </authors>
  <commentList>
    <comment ref="A32" authorId="0" shapeId="0" xr:uid="{185D5814-51E2-4D4F-9B1C-662D36533D63}">
      <text>
        <r>
          <rPr>
            <b/>
            <sz val="8"/>
            <color indexed="81"/>
            <rFont val="Tahoma"/>
          </rPr>
          <t>Sales people, office &amp; others.</t>
        </r>
      </text>
    </comment>
    <comment ref="A33" authorId="0" shapeId="0" xr:uid="{408E6D21-1071-4216-B18C-15F55DA91631}">
      <text>
        <r>
          <rPr>
            <b/>
            <sz val="8"/>
            <color indexed="81"/>
            <rFont val="Tahoma"/>
          </rPr>
          <t>Taxes,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author>
  </authors>
  <commentList>
    <comment ref="B10" authorId="0" shapeId="0" xr:uid="{73F1B203-11F4-4F06-B90D-771D2E47BD9D}">
      <text>
        <r>
          <rPr>
            <b/>
            <sz val="8"/>
            <color indexed="81"/>
            <rFont val="Tahoma"/>
            <family val="2"/>
          </rPr>
          <t>Totals are calculated automatically.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author>
  </authors>
  <commentList>
    <comment ref="C15" authorId="0" shapeId="0" xr:uid="{B7CFA3B5-3338-46FE-A9B0-72914B1692CE}">
      <text>
        <r>
          <rPr>
            <b/>
            <sz val="9"/>
            <color indexed="81"/>
            <rFont val="Tahoma"/>
            <family val="2"/>
          </rPr>
          <t>Totals are calculated automatically.</t>
        </r>
      </text>
    </comment>
    <comment ref="C23" authorId="0" shapeId="0" xr:uid="{3E9BB9C3-E4B9-46B8-990F-80584C9E468B}">
      <text>
        <r>
          <rPr>
            <b/>
            <sz val="8"/>
            <color indexed="81"/>
            <rFont val="Tahoma"/>
          </rPr>
          <t>Make sure to enter this as a negative number!</t>
        </r>
      </text>
    </comment>
    <comment ref="E23" authorId="0" shapeId="0" xr:uid="{992C8E51-1F99-4550-9362-55A880FB6FB7}">
      <text>
        <r>
          <rPr>
            <b/>
            <sz val="8"/>
            <color indexed="81"/>
            <rFont val="Tahoma"/>
          </rPr>
          <t>Make sure to enter this as a negative number!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author>
  </authors>
  <commentList>
    <comment ref="B33" authorId="0" shapeId="0" xr:uid="{4D5762C9-796C-41C1-8F43-827B8968ECDA}">
      <text>
        <r>
          <rPr>
            <b/>
            <sz val="8"/>
            <color indexed="81"/>
            <rFont val="Tahoma"/>
            <family val="2"/>
          </rPr>
          <t>Total will be calculated automatically.</t>
        </r>
      </text>
    </comment>
    <comment ref="D35" authorId="0" shapeId="0" xr:uid="{D2F2DC31-10DA-4200-97E9-25FD2B9E3485}">
      <text>
        <r>
          <rPr>
            <b/>
            <sz val="8"/>
            <color indexed="81"/>
            <rFont val="Tahoma"/>
            <family val="2"/>
          </rPr>
          <t>Total will be calculated automatically.</t>
        </r>
        <r>
          <rPr>
            <sz val="8"/>
            <color indexed="81"/>
            <rFont val="Tahoma"/>
            <family val="2"/>
          </rPr>
          <t xml:space="preserve">
</t>
        </r>
      </text>
    </comment>
    <comment ref="B38" authorId="0" shapeId="0" xr:uid="{FB5FBDBD-AE08-4B46-934E-CEC06BABCAB1}">
      <text>
        <r>
          <rPr>
            <b/>
            <sz val="8"/>
            <color indexed="81"/>
            <rFont val="Tahoma"/>
            <family val="2"/>
          </rPr>
          <t xml:space="preserve">Breakeven Sales Level = 
Total Fixed Expenses / [(100%-Total Variable Exp%)/100%]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author>
  </authors>
  <commentList>
    <comment ref="B10" authorId="0" shapeId="0" xr:uid="{B1C9E661-1DED-4E5C-98F4-4F6033A44541}">
      <text>
        <r>
          <rPr>
            <b/>
            <sz val="8"/>
            <color indexed="81"/>
            <rFont val="Tahoma"/>
            <family val="2"/>
          </rPr>
          <t>Totals are calculated automatically.</t>
        </r>
      </text>
    </comment>
  </commentList>
</comments>
</file>

<file path=xl/sharedStrings.xml><?xml version="1.0" encoding="utf-8"?>
<sst xmlns="http://schemas.openxmlformats.org/spreadsheetml/2006/main" count="269" uniqueCount="231">
  <si>
    <t>OCT</t>
  </si>
  <si>
    <t>NOV</t>
  </si>
  <si>
    <t>DEC</t>
  </si>
  <si>
    <t>JAN</t>
  </si>
  <si>
    <t>FEB</t>
  </si>
  <si>
    <t>MAR</t>
  </si>
  <si>
    <t>APR</t>
  </si>
  <si>
    <t>MAY</t>
  </si>
  <si>
    <t>JUN</t>
  </si>
  <si>
    <t>JUL</t>
  </si>
  <si>
    <t>AUG</t>
  </si>
  <si>
    <t>SEP</t>
  </si>
  <si>
    <t>Miscellaneous Discretionary</t>
  </si>
  <si>
    <t>Collateral</t>
  </si>
  <si>
    <t>Printing and other printed materials</t>
  </si>
  <si>
    <t>Analyst Fees</t>
  </si>
  <si>
    <t>Industry Organization Fees</t>
  </si>
  <si>
    <t>Messaging / Brand Framework</t>
  </si>
  <si>
    <t>Analyst Tour</t>
  </si>
  <si>
    <t xml:space="preserve">Public Relations </t>
  </si>
  <si>
    <t>Sales Support</t>
  </si>
  <si>
    <t>Events</t>
  </si>
  <si>
    <t>Event Support</t>
  </si>
  <si>
    <t>Booth property</t>
  </si>
  <si>
    <t>Graphics &amp; Signage</t>
  </si>
  <si>
    <t>Giveaways &amp; Apparel</t>
  </si>
  <si>
    <t>Article reprints/usage rights</t>
  </si>
  <si>
    <t>Print advertising</t>
  </si>
  <si>
    <t>Website / Interactive</t>
  </si>
  <si>
    <t>Website traffic reporting tool</t>
  </si>
  <si>
    <t>MARKET RESEARCH &amp; MEMBERSHIPS</t>
  </si>
  <si>
    <t>Webinars</t>
  </si>
  <si>
    <t>Sales Demo</t>
  </si>
  <si>
    <t>YTD ACTUALS</t>
  </si>
  <si>
    <t>PR campaign support</t>
  </si>
  <si>
    <t xml:space="preserve">Annual Marketing Budget </t>
  </si>
  <si>
    <t>Q1</t>
  </si>
  <si>
    <t>Q2</t>
  </si>
  <si>
    <t>Q3</t>
  </si>
  <si>
    <t>Q4</t>
  </si>
  <si>
    <t>FY</t>
  </si>
  <si>
    <t>Industry Org #1</t>
  </si>
  <si>
    <t>Industry Org #2</t>
  </si>
  <si>
    <t>Special Projects</t>
  </si>
  <si>
    <t>Month</t>
  </si>
  <si>
    <t>Dates</t>
  </si>
  <si>
    <t>City</t>
  </si>
  <si>
    <t>Event #1</t>
  </si>
  <si>
    <t>Event #2</t>
  </si>
  <si>
    <t>Event #3</t>
  </si>
  <si>
    <t>Marketing Travel</t>
  </si>
  <si>
    <t>Trip #1</t>
  </si>
  <si>
    <t>Trip #2</t>
  </si>
  <si>
    <t>Direct / Email Marketing</t>
  </si>
  <si>
    <t>Sales / Customer Videos</t>
  </si>
  <si>
    <t>Website development (or redesign)</t>
  </si>
  <si>
    <t>Agency Fees (or Consulting Retainer)</t>
  </si>
  <si>
    <t>Wire Services</t>
  </si>
  <si>
    <t>Clipping Services (if not included in above)</t>
  </si>
  <si>
    <t>Analyst Group Membership #1</t>
  </si>
  <si>
    <t>Analyst Group Membership #2</t>
  </si>
  <si>
    <t>Year:</t>
  </si>
  <si>
    <t>Templates (PPT, Word Doc, etc)</t>
  </si>
  <si>
    <t>Business Identity Standards</t>
  </si>
  <si>
    <t>Brand Development</t>
  </si>
  <si>
    <t>MARKETING EVENTS/TRAVEL</t>
  </si>
  <si>
    <t>MARKETING / COMMUNICATIONS</t>
  </si>
  <si>
    <t>Marketing Agency / Contractor</t>
  </si>
  <si>
    <t>Fees</t>
  </si>
  <si>
    <t>Advertising</t>
  </si>
  <si>
    <t>Radio advertising</t>
  </si>
  <si>
    <t>Google Ads (PPC)</t>
  </si>
  <si>
    <t>Social media advertising</t>
  </si>
  <si>
    <t>SEO program</t>
  </si>
  <si>
    <t>Sales Forecast (12 Months)</t>
  </si>
  <si>
    <t>Enter your Company Name here</t>
  </si>
  <si>
    <t>Fiscal Year Begins</t>
  </si>
  <si>
    <t>12-month Sales Forecast</t>
  </si>
  <si>
    <t>Annual Totals</t>
  </si>
  <si>
    <t>Cat 1 units sold</t>
  </si>
  <si>
    <t>Sale price @ unit</t>
  </si>
  <si>
    <t>Cat 1 TOTAL</t>
  </si>
  <si>
    <t>Cat 2 units sold</t>
  </si>
  <si>
    <t>Cat 2 TOTAL</t>
  </si>
  <si>
    <t>Monthly totals: All Categories</t>
  </si>
  <si>
    <t>ChargeNet</t>
  </si>
  <si>
    <t>Profit and Loss Projection (12 Months)</t>
  </si>
  <si>
    <t>YEARLY</t>
  </si>
  <si>
    <t>Revenue (Sales)</t>
  </si>
  <si>
    <t>Category 1</t>
  </si>
  <si>
    <t>Category 2</t>
  </si>
  <si>
    <t>Category 3</t>
  </si>
  <si>
    <t>Category 4</t>
  </si>
  <si>
    <t>Category 5</t>
  </si>
  <si>
    <t>Category 6</t>
  </si>
  <si>
    <t>Category 7</t>
  </si>
  <si>
    <t>Total Revenue (Sales)</t>
  </si>
  <si>
    <t>Cost of Sales</t>
  </si>
  <si>
    <t>Total Cost of Sales</t>
  </si>
  <si>
    <t>Gross Profit</t>
  </si>
  <si>
    <t>Expenses</t>
  </si>
  <si>
    <t xml:space="preserve">Salary expenses </t>
  </si>
  <si>
    <t xml:space="preserve">Payroll expenses </t>
  </si>
  <si>
    <t>Outside services</t>
  </si>
  <si>
    <t>Supplies (office and operating)</t>
  </si>
  <si>
    <t>Repairs and maintenance</t>
  </si>
  <si>
    <t>Car, delivery and travel</t>
  </si>
  <si>
    <t>Accounting and legal</t>
  </si>
  <si>
    <t>Rent &amp; Related Costs</t>
  </si>
  <si>
    <t>Telephone</t>
  </si>
  <si>
    <t>Utilities</t>
  </si>
  <si>
    <t>Insurance</t>
  </si>
  <si>
    <t>Taxes (real estate, etc.)</t>
  </si>
  <si>
    <t>Interest</t>
  </si>
  <si>
    <t>Depreciation</t>
  </si>
  <si>
    <t>Other expenses (specify)</t>
  </si>
  <si>
    <t>Misc. (unspecified)</t>
  </si>
  <si>
    <t>Sub-total Expenses</t>
  </si>
  <si>
    <t xml:space="preserve">Reserve for Contingencies </t>
  </si>
  <si>
    <t>Total Expenses</t>
  </si>
  <si>
    <t>Net Profit Before Taxes</t>
  </si>
  <si>
    <t>Federal Income Taxes</t>
  </si>
  <si>
    <t>State Income Taxes</t>
  </si>
  <si>
    <t>Local Income Taxes</t>
  </si>
  <si>
    <t>Net Operating Income</t>
  </si>
  <si>
    <t>Cash Flow (12 months)</t>
  </si>
  <si>
    <t>Enter Company Name Here</t>
  </si>
  <si>
    <t>Fiscal Year Begins:</t>
  </si>
  <si>
    <t>Pre-Startup EST</t>
  </si>
  <si>
    <t>Total Item EST</t>
  </si>
  <si>
    <r>
      <t>Cash on Hand</t>
    </r>
    <r>
      <rPr>
        <sz val="12"/>
        <rFont val="Calibri"/>
        <family val="2"/>
        <scheme val="minor"/>
      </rPr>
      <t xml:space="preserve"> (beginning of month)</t>
    </r>
  </si>
  <si>
    <t>CASH RECEIPTS</t>
  </si>
  <si>
    <t>Cash Sales</t>
  </si>
  <si>
    <t>Collections fm CR accounts</t>
  </si>
  <si>
    <t>Loan/ other cash inj.</t>
  </si>
  <si>
    <t>TOTAL CASH RECEIPTS</t>
  </si>
  <si>
    <r>
      <t>Total Cash Available</t>
    </r>
    <r>
      <rPr>
        <sz val="12"/>
        <rFont val="Calibri"/>
        <family val="2"/>
        <scheme val="minor"/>
      </rPr>
      <t xml:space="preserve"> (before cash out)</t>
    </r>
  </si>
  <si>
    <t>CASH PAID OUT</t>
  </si>
  <si>
    <t>Purchases (merchandise)</t>
  </si>
  <si>
    <t>Purchases (specify)</t>
  </si>
  <si>
    <t>Gross wages (exact withdrawal)</t>
  </si>
  <si>
    <t>Payroll expenses (taxes, etc.)</t>
  </si>
  <si>
    <t>Supplies (office &amp; oper.)</t>
  </si>
  <si>
    <t>Repairs &amp; maintenance</t>
  </si>
  <si>
    <t>Car, delivery &amp; travel</t>
  </si>
  <si>
    <t>Accounting &amp; legal</t>
  </si>
  <si>
    <t>Rent</t>
  </si>
  <si>
    <t>Other (specify)</t>
  </si>
  <si>
    <t>Miscellaneous</t>
  </si>
  <si>
    <t>SUBTOTAL</t>
  </si>
  <si>
    <t>Loan principal payment</t>
  </si>
  <si>
    <t>Capital purchase (specify)</t>
  </si>
  <si>
    <t>Other startup costs</t>
  </si>
  <si>
    <t>Reserve and/or Escrow</t>
  </si>
  <si>
    <t>Owners' Withdrawal</t>
  </si>
  <si>
    <t>TOTAL CASH PAID OUT</t>
  </si>
  <si>
    <r>
      <t xml:space="preserve">Cash Position </t>
    </r>
    <r>
      <rPr>
        <sz val="12"/>
        <rFont val="Calibri"/>
        <family val="2"/>
        <scheme val="minor"/>
      </rPr>
      <t>(end of month)</t>
    </r>
  </si>
  <si>
    <t>ESSENTIAL OPERATING DATA (non cash flow information)</t>
  </si>
  <si>
    <t>Sales Volume (dollars)</t>
  </si>
  <si>
    <t>Accounts Receivable</t>
  </si>
  <si>
    <t>Bad Debt (end of month)</t>
  </si>
  <si>
    <t>Inventory on hand (eom)</t>
  </si>
  <si>
    <t>Accounts Payable (eom)</t>
  </si>
  <si>
    <t>Breakeven Analysis</t>
  </si>
  <si>
    <t>Enter your company name here</t>
  </si>
  <si>
    <t>Cost Description</t>
  </si>
  <si>
    <t>Fixed Costs ($)</t>
  </si>
  <si>
    <t>Variable Costs (%)</t>
  </si>
  <si>
    <t>Variable Costs</t>
  </si>
  <si>
    <t>Cost of Goods Sold</t>
  </si>
  <si>
    <t>Inventory</t>
  </si>
  <si>
    <t>Raw Materials</t>
  </si>
  <si>
    <t>Direct Labor (Includes Payroll Taxes)</t>
  </si>
  <si>
    <t>Fixed Costs</t>
  </si>
  <si>
    <t>Salaries (includes payroll taxes)</t>
  </si>
  <si>
    <t>Supplies</t>
  </si>
  <si>
    <t>Taxes (Real estate, etc.)</t>
  </si>
  <si>
    <t>Miscellaneous expenses</t>
  </si>
  <si>
    <t>Principal portion of debt payment</t>
  </si>
  <si>
    <t>Owner's draw</t>
  </si>
  <si>
    <t>Total Fixed Costs</t>
  </si>
  <si>
    <t>Total Variable Costs</t>
  </si>
  <si>
    <t>Breakeven Sales level   =</t>
  </si>
  <si>
    <t>Balance Sheet (Projected)</t>
  </si>
  <si>
    <t>Beginning</t>
  </si>
  <si>
    <t>Projected</t>
  </si>
  <si>
    <t>as of mm/dd/yyyy</t>
  </si>
  <si>
    <t>Assets</t>
  </si>
  <si>
    <t>Current Assets</t>
  </si>
  <si>
    <t>Cash in bank</t>
  </si>
  <si>
    <t>Accounts receivable</t>
  </si>
  <si>
    <t>Prepaid expenses</t>
  </si>
  <si>
    <t>Other current assets</t>
  </si>
  <si>
    <t>Total Current Assets</t>
  </si>
  <si>
    <t>Fixed Assets</t>
  </si>
  <si>
    <t>Machinery &amp; equipment</t>
  </si>
  <si>
    <t>Furniture &amp; fixtures</t>
  </si>
  <si>
    <t>Leasehold improvements</t>
  </si>
  <si>
    <t>Land &amp; buildings</t>
  </si>
  <si>
    <t>Other fixed assets</t>
  </si>
  <si>
    <t>(LESS accumulated depreciation on all fixed assets)</t>
  </si>
  <si>
    <t>Total Fixed Assets (net of depreciation)</t>
  </si>
  <si>
    <t>Other Assets</t>
  </si>
  <si>
    <t>Intangibles</t>
  </si>
  <si>
    <t>Deposits</t>
  </si>
  <si>
    <t>Goodwill</t>
  </si>
  <si>
    <t>Other</t>
  </si>
  <si>
    <t>Total Other Assets</t>
  </si>
  <si>
    <t>TOTAL Assets</t>
  </si>
  <si>
    <t>Liabilities and Equity</t>
  </si>
  <si>
    <t>Current Liabilities</t>
  </si>
  <si>
    <t>Accounts payable</t>
  </si>
  <si>
    <t>Interest payable</t>
  </si>
  <si>
    <t>Taxes payable</t>
  </si>
  <si>
    <t>Notes, short-term (due within 12 months)</t>
  </si>
  <si>
    <t>Current part, long-term debt</t>
  </si>
  <si>
    <t>Other current liabilities</t>
  </si>
  <si>
    <t>Total Current Liabilities</t>
  </si>
  <si>
    <t>Long-term Debt</t>
  </si>
  <si>
    <t>Bank loans payable</t>
  </si>
  <si>
    <t>Notes payable to stockholders</t>
  </si>
  <si>
    <t>LESS: Short-term portion</t>
  </si>
  <si>
    <t>Other long term debt</t>
  </si>
  <si>
    <t>Total Long-term Debt</t>
  </si>
  <si>
    <t>Total Liabilities</t>
  </si>
  <si>
    <t>Owners' Equity</t>
  </si>
  <si>
    <t>Invested capital</t>
  </si>
  <si>
    <t>Retained earnings - beginning</t>
  </si>
  <si>
    <t>Retained earnings - current</t>
  </si>
  <si>
    <t>Total Owners' Equity</t>
  </si>
  <si>
    <t>Total Liabilities &amp;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</si>
</sst>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409]mmm\-yy;@"/>
    <numFmt numFmtId="167" formatCode="yyyy"/>
    <numFmt numFmtId="169" formatCode="0.0"/>
    <numFmt numFmtId="170" formatCode="mmmm"/>
    <numFmt numFmtId="171" formatCode="0.0%"/>
  </numFmts>
  <fonts count="42" x14ac:knownFonts="1">
    <font>
      <sz val="10"/>
      <name val="Times New Roman"/>
    </font>
    <font>
      <sz val="10"/>
      <name val="Times New Roman"/>
    </font>
    <font>
      <sz val="10"/>
      <name val="Arial"/>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8"/>
      <name val="Arial"/>
      <family val="2"/>
    </font>
    <font>
      <b/>
      <sz val="10"/>
      <name val="Arial"/>
      <family val="2"/>
    </font>
    <font>
      <b/>
      <sz val="11"/>
      <name val="Arial"/>
      <family val="2"/>
    </font>
    <font>
      <b/>
      <sz val="14"/>
      <color indexed="56"/>
      <name val="Arial"/>
      <family val="2"/>
    </font>
    <font>
      <sz val="10"/>
      <color indexed="56"/>
      <name val="Arial"/>
      <family val="2"/>
    </font>
    <font>
      <b/>
      <sz val="9"/>
      <name val="Arial"/>
      <family val="2"/>
    </font>
    <font>
      <sz val="9"/>
      <name val="Arial"/>
    </font>
    <font>
      <b/>
      <sz val="9"/>
      <color indexed="8"/>
      <name val="Arial"/>
      <family val="2"/>
    </font>
    <font>
      <sz val="9"/>
      <color indexed="10"/>
      <name val="Arial"/>
      <family val="2"/>
    </font>
    <font>
      <sz val="9"/>
      <name val="Arial"/>
      <family val="2"/>
    </font>
    <font>
      <i/>
      <sz val="9"/>
      <color indexed="10"/>
      <name val="Arial"/>
      <family val="2"/>
    </font>
    <font>
      <b/>
      <sz val="9"/>
      <color indexed="10"/>
      <name val="Arial"/>
      <family val="2"/>
    </font>
    <font>
      <sz val="9"/>
      <name val="Times New Roman"/>
    </font>
    <font>
      <i/>
      <sz val="9"/>
      <color indexed="12"/>
      <name val="Arial"/>
      <family val="2"/>
    </font>
    <font>
      <i/>
      <sz val="9"/>
      <name val="Arial"/>
      <family val="2"/>
    </font>
    <font>
      <b/>
      <i/>
      <sz val="9"/>
      <name val="Arial"/>
      <family val="2"/>
    </font>
    <font>
      <sz val="9"/>
      <color indexed="10"/>
      <name val="Arial"/>
    </font>
    <font>
      <b/>
      <sz val="12"/>
      <name val="Arial"/>
      <family val="2"/>
    </font>
    <font>
      <b/>
      <sz val="14"/>
      <name val="Arial"/>
      <family val="2"/>
    </font>
    <font>
      <b/>
      <sz val="16"/>
      <name val="Arial"/>
      <family val="2"/>
    </font>
    <font>
      <sz val="12"/>
      <name val="Arial"/>
      <family val="2"/>
    </font>
    <font>
      <sz val="10"/>
      <name val="Arial"/>
      <family val="2"/>
    </font>
    <font>
      <b/>
      <sz val="8"/>
      <name val="Arial"/>
      <family val="2"/>
    </font>
    <font>
      <b/>
      <sz val="7"/>
      <name val="Arial"/>
      <family val="2"/>
    </font>
    <font>
      <b/>
      <sz val="8"/>
      <color indexed="81"/>
      <name val="Tahoma"/>
      <family val="2"/>
    </font>
    <font>
      <sz val="7"/>
      <name val="Arial"/>
      <family val="2"/>
    </font>
    <font>
      <b/>
      <sz val="8"/>
      <color indexed="81"/>
      <name val="Tahoma"/>
    </font>
    <font>
      <sz val="12"/>
      <name val="Calibri"/>
      <family val="2"/>
      <scheme val="minor"/>
    </font>
    <font>
      <b/>
      <sz val="12"/>
      <name val="Calibri"/>
      <family val="2"/>
      <scheme val="minor"/>
    </font>
    <font>
      <b/>
      <sz val="11"/>
      <name val="Calibri"/>
      <family val="2"/>
      <scheme val="minor"/>
    </font>
    <font>
      <sz val="8"/>
      <color indexed="81"/>
      <name val="Tahoma"/>
      <family val="2"/>
    </font>
    <font>
      <b/>
      <sz val="18"/>
      <name val="Arial"/>
      <family val="2"/>
    </font>
    <font>
      <b/>
      <u/>
      <sz val="10"/>
      <name val="Arial"/>
      <family val="2"/>
    </font>
    <font>
      <b/>
      <i/>
      <sz val="10"/>
      <name val="Arial"/>
      <family val="2"/>
    </font>
    <font>
      <b/>
      <sz val="9"/>
      <color indexed="81"/>
      <name val="Tahoma"/>
      <family val="2"/>
    </font>
  </fonts>
  <fills count="13">
    <fill>
      <patternFill patternType="none"/>
    </fill>
    <fill>
      <patternFill patternType="gray125"/>
    </fill>
    <fill>
      <patternFill patternType="solid">
        <fgColor indexed="9"/>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lightUp"/>
    </fill>
    <fill>
      <patternFill patternType="solid">
        <fgColor indexed="41"/>
        <bgColor indexed="64"/>
      </patternFill>
    </fill>
    <fill>
      <patternFill patternType="solid">
        <fgColor indexed="44"/>
        <bgColor indexed="64"/>
      </patternFill>
    </fill>
    <fill>
      <patternFill patternType="solid">
        <fgColor indexed="46"/>
        <bgColor indexed="64"/>
      </patternFill>
    </fill>
  </fills>
  <borders count="29">
    <border>
      <left/>
      <right/>
      <top/>
      <bottom/>
      <diagonal/>
    </border>
    <border>
      <left/>
      <right style="thin">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22"/>
      </right>
      <top/>
      <bottom/>
      <diagonal/>
    </border>
    <border>
      <left/>
      <right style="hair">
        <color indexed="22"/>
      </right>
      <top/>
      <bottom/>
      <diagonal/>
    </border>
    <border>
      <left style="hair">
        <color indexed="22"/>
      </left>
      <right style="hair">
        <color indexed="22"/>
      </right>
      <top style="hair">
        <color indexed="22"/>
      </top>
      <bottom style="hair">
        <color indexed="22"/>
      </bottom>
      <diagonal/>
    </border>
    <border>
      <left/>
      <right style="hair">
        <color indexed="22"/>
      </right>
      <top style="hair">
        <color indexed="22"/>
      </top>
      <bottom style="hair">
        <color indexed="22"/>
      </bottom>
      <diagonal/>
    </border>
    <border>
      <left/>
      <right style="thin">
        <color indexed="22"/>
      </right>
      <top style="thin">
        <color indexed="22"/>
      </top>
      <bottom style="thin">
        <color indexed="22"/>
      </bottom>
      <diagonal/>
    </border>
    <border>
      <left/>
      <right style="thin">
        <color indexed="22"/>
      </right>
      <top/>
      <bottom style="thin">
        <color indexed="22"/>
      </bottom>
      <diagonal/>
    </border>
    <border>
      <left style="thin">
        <color indexed="64"/>
      </left>
      <right/>
      <top/>
      <bottom/>
      <diagonal/>
    </border>
    <border>
      <left style="medium">
        <color indexed="64"/>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22"/>
      </left>
      <right style="thin">
        <color indexed="22"/>
      </right>
      <top style="thin">
        <color indexed="22"/>
      </top>
      <bottom style="thin">
        <color indexed="22"/>
      </bottom>
      <diagonal/>
    </border>
    <border>
      <left/>
      <right/>
      <top/>
      <bottom style="thin">
        <color indexed="22"/>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top style="thin">
        <color indexed="64"/>
      </top>
      <bottom style="double">
        <color indexed="64"/>
      </bottom>
      <diagonal/>
    </border>
  </borders>
  <cellStyleXfs count="9">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xf numFmtId="40" fontId="3" fillId="2" borderId="0">
      <alignment horizontal="right"/>
    </xf>
    <xf numFmtId="0" fontId="4" fillId="2" borderId="0">
      <alignment horizontal="right"/>
    </xf>
    <xf numFmtId="0" fontId="5" fillId="2" borderId="1"/>
    <xf numFmtId="0" fontId="5" fillId="0" borderId="0" applyBorder="0">
      <alignment horizontal="centerContinuous"/>
    </xf>
    <xf numFmtId="0" fontId="6" fillId="0" borderId="0" applyBorder="0">
      <alignment horizontal="centerContinuous"/>
    </xf>
  </cellStyleXfs>
  <cellXfs count="234">
    <xf numFmtId="0" fontId="0" fillId="0" borderId="0" xfId="0"/>
    <xf numFmtId="165" fontId="2" fillId="0" borderId="0" xfId="2" applyNumberFormat="1" applyFont="1"/>
    <xf numFmtId="165" fontId="7" fillId="0" borderId="0" xfId="2" applyNumberFormat="1" applyFont="1"/>
    <xf numFmtId="165" fontId="2" fillId="0" borderId="0" xfId="2" applyNumberFormat="1" applyFont="1" applyBorder="1"/>
    <xf numFmtId="0" fontId="2" fillId="0" borderId="0" xfId="3" applyFill="1" applyBorder="1"/>
    <xf numFmtId="0" fontId="2" fillId="0" borderId="0" xfId="3"/>
    <xf numFmtId="0" fontId="9" fillId="0" borderId="0" xfId="3" applyFont="1" applyFill="1" applyBorder="1"/>
    <xf numFmtId="0" fontId="2" fillId="0" borderId="0" xfId="3" applyFill="1"/>
    <xf numFmtId="0" fontId="2" fillId="0" borderId="0" xfId="3" applyAlignment="1">
      <alignment horizontal="left"/>
    </xf>
    <xf numFmtId="165" fontId="7" fillId="0" borderId="0" xfId="2" applyNumberFormat="1" applyFont="1" applyFill="1"/>
    <xf numFmtId="165" fontId="2" fillId="0" borderId="0" xfId="2" applyNumberFormat="1" applyFont="1" applyFill="1"/>
    <xf numFmtId="0" fontId="10" fillId="0" borderId="0" xfId="3" applyFont="1" applyFill="1" applyBorder="1"/>
    <xf numFmtId="0" fontId="10" fillId="0" borderId="0" xfId="3" applyFont="1" applyFill="1" applyBorder="1" applyAlignment="1">
      <alignment horizontal="left"/>
    </xf>
    <xf numFmtId="0" fontId="11" fillId="0" borderId="0" xfId="3" applyFont="1" applyFill="1" applyBorder="1"/>
    <xf numFmtId="0" fontId="12" fillId="0" borderId="0" xfId="3" applyFont="1" applyBorder="1"/>
    <xf numFmtId="0" fontId="12" fillId="0" borderId="0" xfId="3" applyFont="1" applyBorder="1" applyAlignment="1">
      <alignment horizontal="left"/>
    </xf>
    <xf numFmtId="165" fontId="12" fillId="0" borderId="0" xfId="2" applyNumberFormat="1" applyFont="1" applyFill="1" applyAlignment="1">
      <alignment horizontal="center"/>
    </xf>
    <xf numFmtId="165" fontId="12" fillId="0" borderId="4" xfId="2" applyNumberFormat="1" applyFont="1" applyFill="1" applyBorder="1" applyAlignment="1">
      <alignment horizontal="center"/>
    </xf>
    <xf numFmtId="165" fontId="12" fillId="0" borderId="4" xfId="2" applyNumberFormat="1" applyFont="1" applyBorder="1" applyAlignment="1">
      <alignment horizontal="center"/>
    </xf>
    <xf numFmtId="165" fontId="12" fillId="0" borderId="0" xfId="2" applyNumberFormat="1" applyFont="1" applyAlignment="1">
      <alignment horizontal="center"/>
    </xf>
    <xf numFmtId="0" fontId="13" fillId="0" borderId="0" xfId="3" applyFont="1" applyFill="1" applyBorder="1"/>
    <xf numFmtId="165" fontId="13" fillId="0" borderId="0" xfId="2" applyNumberFormat="1" applyFont="1" applyFill="1" applyBorder="1"/>
    <xf numFmtId="165" fontId="13" fillId="0" borderId="0" xfId="2" applyNumberFormat="1" applyFont="1" applyBorder="1"/>
    <xf numFmtId="0" fontId="16" fillId="0" borderId="0" xfId="3" applyFont="1" applyFill="1" applyAlignment="1">
      <alignment horizontal="left"/>
    </xf>
    <xf numFmtId="0" fontId="13" fillId="0" borderId="0" xfId="3" applyFont="1" applyFill="1" applyAlignment="1">
      <alignment horizontal="left"/>
    </xf>
    <xf numFmtId="0" fontId="19" fillId="0" borderId="0" xfId="0" applyFont="1"/>
    <xf numFmtId="0" fontId="19" fillId="0" borderId="0" xfId="0" applyFont="1" applyAlignment="1">
      <alignment horizontal="left"/>
    </xf>
    <xf numFmtId="164" fontId="13" fillId="0" borderId="0" xfId="1" applyNumberFormat="1" applyFont="1" applyBorder="1"/>
    <xf numFmtId="164" fontId="13" fillId="0" borderId="0" xfId="1" applyNumberFormat="1" applyFont="1" applyBorder="1" applyAlignment="1">
      <alignment horizontal="left"/>
    </xf>
    <xf numFmtId="0" fontId="13" fillId="0" borderId="0" xfId="3" applyFont="1"/>
    <xf numFmtId="0" fontId="13" fillId="0" borderId="0" xfId="3" applyFont="1" applyAlignment="1">
      <alignment horizontal="left"/>
    </xf>
    <xf numFmtId="0" fontId="13" fillId="0" borderId="0" xfId="3" applyFont="1" applyFill="1"/>
    <xf numFmtId="0" fontId="13" fillId="0" borderId="0" xfId="3" applyFont="1" applyFill="1" applyBorder="1" applyAlignment="1">
      <alignment horizontal="left"/>
    </xf>
    <xf numFmtId="0" fontId="13" fillId="0" borderId="7" xfId="3" applyFont="1" applyFill="1" applyBorder="1" applyAlignment="1">
      <alignment horizontal="right"/>
    </xf>
    <xf numFmtId="2" fontId="13" fillId="0" borderId="7" xfId="3" applyNumberFormat="1" applyFont="1" applyFill="1" applyBorder="1" applyAlignment="1">
      <alignment horizontal="left"/>
    </xf>
    <xf numFmtId="16" fontId="13" fillId="0" borderId="8" xfId="3" applyNumberFormat="1" applyFont="1" applyFill="1" applyBorder="1" applyAlignment="1">
      <alignment horizontal="right"/>
    </xf>
    <xf numFmtId="2" fontId="13" fillId="0" borderId="9" xfId="3" applyNumberFormat="1" applyFont="1" applyFill="1" applyBorder="1" applyAlignment="1">
      <alignment horizontal="left"/>
    </xf>
    <xf numFmtId="0" fontId="13" fillId="0" borderId="9" xfId="3" applyFont="1" applyFill="1" applyBorder="1" applyAlignment="1">
      <alignment horizontal="left"/>
    </xf>
    <xf numFmtId="0" fontId="13" fillId="0" borderId="8" xfId="3" applyFont="1" applyFill="1" applyBorder="1" applyAlignment="1">
      <alignment horizontal="right"/>
    </xf>
    <xf numFmtId="0" fontId="22" fillId="0" borderId="0" xfId="3" applyFont="1" applyFill="1" applyBorder="1" applyAlignment="1">
      <alignment horizontal="left"/>
    </xf>
    <xf numFmtId="0" fontId="21" fillId="0" borderId="0" xfId="3" applyFont="1" applyFill="1" applyBorder="1" applyAlignment="1">
      <alignment horizontal="left"/>
    </xf>
    <xf numFmtId="0" fontId="16" fillId="0" borderId="0" xfId="3" applyFont="1" applyFill="1" applyBorder="1"/>
    <xf numFmtId="0" fontId="13" fillId="0" borderId="6" xfId="3" applyFont="1" applyFill="1" applyBorder="1" applyAlignment="1">
      <alignment horizontal="left"/>
    </xf>
    <xf numFmtId="0" fontId="16" fillId="0" borderId="10" xfId="0" applyFont="1" applyFill="1" applyBorder="1" applyAlignment="1">
      <alignment horizontal="left" vertical="top" wrapText="1"/>
    </xf>
    <xf numFmtId="0" fontId="16" fillId="0" borderId="11" xfId="0" applyFont="1" applyFill="1" applyBorder="1" applyAlignment="1">
      <alignment horizontal="left" vertical="top" wrapText="1"/>
    </xf>
    <xf numFmtId="0" fontId="16" fillId="0" borderId="10" xfId="0" applyFont="1" applyFill="1" applyBorder="1" applyAlignment="1">
      <alignment horizontal="left"/>
    </xf>
    <xf numFmtId="165" fontId="23" fillId="0" borderId="0" xfId="2" applyNumberFormat="1" applyFont="1" applyFill="1" applyBorder="1"/>
    <xf numFmtId="164" fontId="12" fillId="0" borderId="0" xfId="1" applyNumberFormat="1" applyFont="1" applyBorder="1"/>
    <xf numFmtId="164" fontId="12" fillId="0" borderId="0" xfId="1" applyNumberFormat="1" applyFont="1" applyBorder="1" applyAlignment="1">
      <alignment horizontal="left"/>
    </xf>
    <xf numFmtId="165" fontId="12" fillId="0" borderId="0" xfId="2" applyNumberFormat="1" applyFont="1" applyFill="1" applyBorder="1"/>
    <xf numFmtId="0" fontId="12" fillId="0" borderId="0" xfId="3" applyFont="1" applyFill="1" applyBorder="1"/>
    <xf numFmtId="165" fontId="16" fillId="0" borderId="0" xfId="2" applyNumberFormat="1" applyFont="1" applyFill="1" applyBorder="1"/>
    <xf numFmtId="0" fontId="12" fillId="0" borderId="12" xfId="3" applyFont="1" applyFill="1" applyBorder="1"/>
    <xf numFmtId="0" fontId="12" fillId="0" borderId="0" xfId="3" applyFont="1" applyFill="1" applyBorder="1" applyAlignment="1">
      <alignment horizontal="left"/>
    </xf>
    <xf numFmtId="0" fontId="13" fillId="0" borderId="0" xfId="3" applyFont="1" applyBorder="1" applyAlignment="1">
      <alignment horizontal="left"/>
    </xf>
    <xf numFmtId="0" fontId="16" fillId="0" borderId="0" xfId="3" applyFont="1" applyFill="1"/>
    <xf numFmtId="0" fontId="8" fillId="0" borderId="0" xfId="3" applyFont="1" applyFill="1" applyBorder="1"/>
    <xf numFmtId="0" fontId="2" fillId="0" borderId="0" xfId="3" applyFont="1" applyFill="1" applyBorder="1"/>
    <xf numFmtId="0" fontId="16" fillId="0" borderId="0" xfId="3" applyFont="1"/>
    <xf numFmtId="0" fontId="10" fillId="4" borderId="2" xfId="3" applyFont="1" applyFill="1" applyBorder="1"/>
    <xf numFmtId="0" fontId="10" fillId="4" borderId="2" xfId="3" applyFont="1" applyFill="1" applyBorder="1" applyAlignment="1">
      <alignment horizontal="left"/>
    </xf>
    <xf numFmtId="0" fontId="11" fillId="4" borderId="2" xfId="3" applyFont="1" applyFill="1" applyBorder="1"/>
    <xf numFmtId="0" fontId="13" fillId="3" borderId="13" xfId="3" applyFont="1" applyFill="1" applyBorder="1"/>
    <xf numFmtId="0" fontId="13" fillId="3" borderId="2" xfId="3" applyFont="1" applyFill="1" applyBorder="1"/>
    <xf numFmtId="0" fontId="13" fillId="3" borderId="2" xfId="3" applyFont="1" applyFill="1" applyBorder="1" applyAlignment="1">
      <alignment horizontal="left"/>
    </xf>
    <xf numFmtId="165" fontId="13" fillId="3" borderId="2" xfId="2" applyNumberFormat="1" applyFont="1" applyFill="1" applyBorder="1"/>
    <xf numFmtId="165" fontId="13" fillId="3" borderId="3" xfId="2" applyNumberFormat="1" applyFont="1" applyFill="1" applyBorder="1"/>
    <xf numFmtId="165" fontId="13" fillId="6" borderId="5" xfId="2" applyNumberFormat="1" applyFont="1" applyFill="1" applyBorder="1"/>
    <xf numFmtId="0" fontId="12" fillId="7" borderId="0" xfId="3" applyFont="1" applyFill="1" applyAlignment="1">
      <alignment horizontal="left"/>
    </xf>
    <xf numFmtId="0" fontId="13" fillId="7" borderId="0" xfId="3" applyFont="1" applyFill="1" applyAlignment="1">
      <alignment horizontal="left"/>
    </xf>
    <xf numFmtId="165" fontId="13" fillId="7" borderId="0" xfId="2" applyNumberFormat="1" applyFont="1" applyFill="1" applyBorder="1"/>
    <xf numFmtId="0" fontId="13" fillId="7" borderId="0" xfId="3" applyFont="1" applyFill="1" applyBorder="1"/>
    <xf numFmtId="0" fontId="14" fillId="8" borderId="0" xfId="3" applyFont="1" applyFill="1" applyAlignment="1">
      <alignment horizontal="left"/>
    </xf>
    <xf numFmtId="0" fontId="18" fillId="8" borderId="0" xfId="3" applyFont="1" applyFill="1" applyAlignment="1">
      <alignment horizontal="left"/>
    </xf>
    <xf numFmtId="0" fontId="13" fillId="8" borderId="0" xfId="3" applyFont="1" applyFill="1" applyAlignment="1">
      <alignment horizontal="left"/>
    </xf>
    <xf numFmtId="165" fontId="13" fillId="8" borderId="0" xfId="2" applyNumberFormat="1" applyFont="1" applyFill="1" applyBorder="1"/>
    <xf numFmtId="0" fontId="14" fillId="8" borderId="0" xfId="3" applyFont="1" applyFill="1" applyBorder="1"/>
    <xf numFmtId="0" fontId="14" fillId="8" borderId="0" xfId="3" applyFont="1" applyFill="1" applyBorder="1" applyAlignment="1">
      <alignment horizontal="left"/>
    </xf>
    <xf numFmtId="165" fontId="15" fillId="8" borderId="0" xfId="2" applyNumberFormat="1" applyFont="1" applyFill="1" applyBorder="1"/>
    <xf numFmtId="0" fontId="12" fillId="8" borderId="0" xfId="3" applyFont="1" applyFill="1" applyBorder="1"/>
    <xf numFmtId="0" fontId="12" fillId="8" borderId="0" xfId="3" applyFont="1" applyFill="1" applyBorder="1" applyAlignment="1">
      <alignment horizontal="left"/>
    </xf>
    <xf numFmtId="0" fontId="13" fillId="8" borderId="0" xfId="3" applyFont="1" applyFill="1" applyBorder="1"/>
    <xf numFmtId="0" fontId="25" fillId="4" borderId="3" xfId="3" applyFont="1" applyFill="1" applyBorder="1"/>
    <xf numFmtId="0" fontId="25" fillId="0" borderId="0" xfId="3" applyFont="1" applyFill="1" applyBorder="1"/>
    <xf numFmtId="165" fontId="13" fillId="3" borderId="5" xfId="2" applyNumberFormat="1" applyFont="1" applyFill="1" applyBorder="1"/>
    <xf numFmtId="0" fontId="24" fillId="3" borderId="2" xfId="3" applyFont="1" applyFill="1" applyBorder="1" applyAlignment="1">
      <alignment horizontal="right"/>
    </xf>
    <xf numFmtId="0" fontId="12" fillId="7" borderId="0" xfId="3" applyFont="1" applyFill="1" applyBorder="1"/>
    <xf numFmtId="0" fontId="16" fillId="7" borderId="0" xfId="3" applyFont="1" applyFill="1" applyBorder="1"/>
    <xf numFmtId="0" fontId="16" fillId="7" borderId="0" xfId="3" applyFont="1" applyFill="1" applyBorder="1" applyAlignment="1">
      <alignment horizontal="left"/>
    </xf>
    <xf numFmtId="165" fontId="17" fillId="7" borderId="0" xfId="2" applyNumberFormat="1" applyFont="1" applyFill="1" applyBorder="1"/>
    <xf numFmtId="0" fontId="12" fillId="7" borderId="6" xfId="3" applyFont="1" applyFill="1" applyBorder="1" applyAlignment="1">
      <alignment horizontal="left"/>
    </xf>
    <xf numFmtId="0" fontId="13" fillId="7" borderId="0" xfId="3" applyFont="1" applyFill="1" applyBorder="1" applyAlignment="1">
      <alignment horizontal="left"/>
    </xf>
    <xf numFmtId="0" fontId="20" fillId="7" borderId="0" xfId="3" applyFont="1" applyFill="1" applyAlignment="1">
      <alignment horizontal="left"/>
    </xf>
    <xf numFmtId="165" fontId="15" fillId="6" borderId="5" xfId="2" applyNumberFormat="1" applyFont="1" applyFill="1" applyBorder="1"/>
    <xf numFmtId="0" fontId="0" fillId="6" borderId="5" xfId="0" applyFill="1" applyBorder="1"/>
    <xf numFmtId="165" fontId="13" fillId="5" borderId="3" xfId="2" applyNumberFormat="1" applyFont="1" applyFill="1" applyBorder="1"/>
    <xf numFmtId="0" fontId="7" fillId="0" borderId="0" xfId="0" applyFont="1"/>
    <xf numFmtId="0" fontId="7" fillId="0" borderId="0" xfId="0" applyFont="1" applyAlignment="1">
      <alignment horizontal="right"/>
    </xf>
    <xf numFmtId="0" fontId="26" fillId="0" borderId="0" xfId="0" applyFont="1"/>
    <xf numFmtId="0" fontId="27" fillId="0" borderId="0" xfId="0" applyFont="1"/>
    <xf numFmtId="0" fontId="8" fillId="0" borderId="0" xfId="0" applyFont="1"/>
    <xf numFmtId="17" fontId="28" fillId="0" borderId="0" xfId="0" applyNumberFormat="1" applyFont="1"/>
    <xf numFmtId="0" fontId="29" fillId="0" borderId="0" xfId="0" applyFont="1"/>
    <xf numFmtId="17" fontId="7" fillId="0" borderId="0" xfId="0" applyNumberFormat="1" applyFont="1"/>
    <xf numFmtId="0" fontId="30" fillId="0" borderId="14" xfId="0" applyFont="1" applyBorder="1" applyAlignment="1">
      <alignment horizontal="center"/>
    </xf>
    <xf numFmtId="166" fontId="29" fillId="0" borderId="15" xfId="0" applyNumberFormat="1" applyFont="1" applyBorder="1" applyAlignment="1">
      <alignment horizontal="center"/>
    </xf>
    <xf numFmtId="0" fontId="29" fillId="0" borderId="15" xfId="0" applyFont="1" applyBorder="1" applyAlignment="1">
      <alignment horizontal="center" wrapText="1"/>
    </xf>
    <xf numFmtId="0" fontId="29" fillId="0" borderId="0" xfId="0" applyFont="1" applyAlignment="1">
      <alignment horizontal="center" wrapText="1"/>
    </xf>
    <xf numFmtId="0" fontId="29" fillId="0" borderId="0" xfId="0" applyFont="1" applyAlignment="1">
      <alignment horizontal="center"/>
    </xf>
    <xf numFmtId="0" fontId="7" fillId="0" borderId="15" xfId="0" applyFont="1" applyBorder="1" applyAlignment="1">
      <alignment vertical="center"/>
    </xf>
    <xf numFmtId="1" fontId="7" fillId="0" borderId="16" xfId="0" applyNumberFormat="1" applyFont="1" applyBorder="1"/>
    <xf numFmtId="1" fontId="7" fillId="0" borderId="15" xfId="0" applyNumberFormat="1" applyFont="1" applyBorder="1" applyAlignment="1">
      <alignment horizontal="right"/>
    </xf>
    <xf numFmtId="1" fontId="7" fillId="0" borderId="0" xfId="0" applyNumberFormat="1" applyFont="1"/>
    <xf numFmtId="0" fontId="7" fillId="0" borderId="15" xfId="0" applyFont="1" applyBorder="1" applyAlignment="1">
      <alignment vertical="center" wrapText="1" readingOrder="1"/>
    </xf>
    <xf numFmtId="4" fontId="7" fillId="0" borderId="15" xfId="0" applyNumberFormat="1" applyFont="1" applyBorder="1" applyAlignment="1">
      <alignment wrapText="1" readingOrder="1"/>
    </xf>
    <xf numFmtId="3" fontId="7" fillId="9" borderId="15" xfId="0" applyNumberFormat="1" applyFont="1" applyFill="1" applyBorder="1" applyAlignment="1">
      <alignment horizontal="right" wrapText="1" readingOrder="1"/>
    </xf>
    <xf numFmtId="3" fontId="7" fillId="0" borderId="0" xfId="0" applyNumberFormat="1" applyFont="1" applyAlignment="1">
      <alignment wrapText="1" readingOrder="1"/>
    </xf>
    <xf numFmtId="0" fontId="29" fillId="0" borderId="15" xfId="0" applyFont="1" applyBorder="1" applyAlignment="1">
      <alignment vertical="center" wrapText="1" readingOrder="1"/>
    </xf>
    <xf numFmtId="3" fontId="7" fillId="0" borderId="15" xfId="0" applyNumberFormat="1" applyFont="1" applyBorder="1" applyAlignment="1">
      <alignment wrapText="1" readingOrder="1"/>
    </xf>
    <xf numFmtId="3" fontId="7" fillId="0" borderId="15" xfId="0" applyNumberFormat="1" applyFont="1" applyBorder="1" applyAlignment="1">
      <alignment horizontal="right" wrapText="1" readingOrder="1"/>
    </xf>
    <xf numFmtId="0" fontId="7" fillId="0" borderId="12" xfId="0" applyFont="1" applyBorder="1" applyAlignment="1">
      <alignment vertical="center" wrapText="1" readingOrder="1"/>
    </xf>
    <xf numFmtId="3" fontId="7" fillId="0" borderId="1" xfId="0" applyNumberFormat="1" applyFont="1" applyBorder="1" applyAlignment="1">
      <alignment horizontal="right" wrapText="1" readingOrder="1"/>
    </xf>
    <xf numFmtId="1" fontId="7" fillId="0" borderId="15" xfId="0" applyNumberFormat="1" applyFont="1" applyBorder="1" applyAlignment="1">
      <alignment wrapText="1" readingOrder="1"/>
    </xf>
    <xf numFmtId="1" fontId="7" fillId="0" borderId="0" xfId="0" applyNumberFormat="1" applyFont="1" applyAlignment="1">
      <alignment wrapText="1" readingOrder="1"/>
    </xf>
    <xf numFmtId="3" fontId="7" fillId="0" borderId="16" xfId="0" applyNumberFormat="1" applyFont="1" applyBorder="1" applyAlignment="1">
      <alignment wrapText="1" readingOrder="1"/>
    </xf>
    <xf numFmtId="0" fontId="29" fillId="0" borderId="15" xfId="0" applyFont="1" applyBorder="1" applyAlignment="1">
      <alignment wrapText="1" readingOrder="1"/>
    </xf>
    <xf numFmtId="3" fontId="7" fillId="0" borderId="17" xfId="0" applyNumberFormat="1" applyFont="1" applyBorder="1" applyAlignment="1">
      <alignment wrapText="1" readingOrder="1"/>
    </xf>
    <xf numFmtId="0" fontId="7" fillId="0" borderId="0" xfId="0" applyFont="1" applyAlignment="1">
      <alignment readingOrder="1"/>
    </xf>
    <xf numFmtId="0" fontId="7" fillId="0" borderId="0" xfId="0" applyFont="1" applyAlignment="1">
      <alignment wrapText="1" readingOrder="1"/>
    </xf>
    <xf numFmtId="0" fontId="7" fillId="0" borderId="0" xfId="0" applyFont="1" applyAlignment="1">
      <alignment horizontal="right" wrapText="1" readingOrder="1"/>
    </xf>
    <xf numFmtId="0" fontId="29" fillId="0" borderId="0" xfId="0" applyFont="1" applyBorder="1" applyAlignment="1">
      <alignment horizontal="center" wrapText="1"/>
    </xf>
    <xf numFmtId="167" fontId="29" fillId="0" borderId="0" xfId="0" applyNumberFormat="1" applyFont="1" applyBorder="1" applyAlignment="1">
      <alignment horizontal="center"/>
    </xf>
    <xf numFmtId="1" fontId="7" fillId="0" borderId="0" xfId="0" applyNumberFormat="1" applyFont="1" applyBorder="1"/>
    <xf numFmtId="4" fontId="7" fillId="0" borderId="0" xfId="0" applyNumberFormat="1" applyFont="1" applyBorder="1" applyAlignment="1">
      <alignment wrapText="1" readingOrder="1"/>
    </xf>
    <xf numFmtId="3" fontId="7" fillId="0" borderId="0" xfId="0" applyNumberFormat="1" applyFont="1" applyBorder="1" applyAlignment="1">
      <alignment wrapText="1" readingOrder="1"/>
    </xf>
    <xf numFmtId="1" fontId="7" fillId="0" borderId="0" xfId="0" applyNumberFormat="1" applyFont="1" applyBorder="1" applyAlignment="1">
      <alignment wrapText="1" readingOrder="1"/>
    </xf>
    <xf numFmtId="0" fontId="2" fillId="0" borderId="0" xfId="0" applyFont="1"/>
    <xf numFmtId="0" fontId="24" fillId="0" borderId="0" xfId="0" applyFont="1"/>
    <xf numFmtId="166" fontId="2" fillId="0" borderId="0" xfId="0" applyNumberFormat="1" applyFont="1" applyAlignment="1">
      <alignment horizontal="left"/>
    </xf>
    <xf numFmtId="0" fontId="12" fillId="0" borderId="0" xfId="0" applyFont="1" applyAlignment="1">
      <alignment horizontal="center" textRotation="60" wrapText="1"/>
    </xf>
    <xf numFmtId="17" fontId="12" fillId="0" borderId="18" xfId="0" applyNumberFormat="1" applyFont="1" applyBorder="1" applyAlignment="1">
      <alignment horizontal="center" textRotation="60" wrapText="1"/>
    </xf>
    <xf numFmtId="166" fontId="12" fillId="0" borderId="18" xfId="0" applyNumberFormat="1" applyFont="1" applyBorder="1" applyAlignment="1">
      <alignment horizontal="center" textRotation="60" wrapText="1"/>
    </xf>
    <xf numFmtId="0" fontId="12" fillId="0" borderId="18" xfId="0" applyFont="1" applyBorder="1" applyAlignment="1">
      <alignment horizontal="center" textRotation="60" wrapText="1"/>
    </xf>
    <xf numFmtId="0" fontId="12" fillId="0" borderId="19" xfId="0" applyFont="1" applyBorder="1"/>
    <xf numFmtId="3" fontId="16" fillId="0" borderId="20" xfId="0" applyNumberFormat="1" applyFont="1" applyBorder="1" applyAlignment="1">
      <alignment wrapText="1"/>
    </xf>
    <xf numFmtId="3" fontId="16" fillId="0" borderId="0" xfId="0" applyNumberFormat="1" applyFont="1" applyAlignment="1">
      <alignment wrapText="1"/>
    </xf>
    <xf numFmtId="0" fontId="16" fillId="0" borderId="16" xfId="0" applyFont="1" applyBorder="1" applyAlignment="1">
      <alignment wrapText="1"/>
    </xf>
    <xf numFmtId="3" fontId="16" fillId="0" borderId="16" xfId="0" applyNumberFormat="1" applyFont="1" applyBorder="1" applyAlignment="1">
      <alignment wrapText="1"/>
    </xf>
    <xf numFmtId="0" fontId="16" fillId="0" borderId="15" xfId="0" applyFont="1" applyBorder="1" applyAlignment="1">
      <alignment wrapText="1"/>
    </xf>
    <xf numFmtId="3" fontId="16" fillId="0" borderId="15" xfId="0" applyNumberFormat="1" applyFont="1" applyBorder="1" applyAlignment="1">
      <alignment wrapText="1"/>
    </xf>
    <xf numFmtId="0" fontId="12" fillId="0" borderId="18" xfId="0" applyFont="1" applyBorder="1" applyAlignment="1">
      <alignment wrapText="1"/>
    </xf>
    <xf numFmtId="3" fontId="16" fillId="0" borderId="18" xfId="0" applyNumberFormat="1" applyFont="1" applyBorder="1" applyAlignment="1">
      <alignment wrapText="1"/>
    </xf>
    <xf numFmtId="0" fontId="16" fillId="0" borderId="19" xfId="0" applyFont="1" applyBorder="1" applyAlignment="1">
      <alignment wrapText="1"/>
    </xf>
    <xf numFmtId="3" fontId="16" fillId="0" borderId="21" xfId="0" applyNumberFormat="1" applyFont="1" applyBorder="1" applyAlignment="1">
      <alignment wrapText="1"/>
    </xf>
    <xf numFmtId="169" fontId="16" fillId="0" borderId="12" xfId="0" applyNumberFormat="1" applyFont="1" applyBorder="1" applyAlignment="1">
      <alignment horizontal="right" wrapText="1"/>
    </xf>
    <xf numFmtId="0" fontId="12" fillId="0" borderId="22" xfId="0" applyFont="1" applyBorder="1" applyAlignment="1">
      <alignment wrapText="1"/>
    </xf>
    <xf numFmtId="3" fontId="16" fillId="0" borderId="22" xfId="0" applyNumberFormat="1" applyFont="1" applyBorder="1" applyAlignment="1">
      <alignment wrapText="1"/>
    </xf>
    <xf numFmtId="0" fontId="12" fillId="0" borderId="23" xfId="0" applyFont="1" applyBorder="1" applyAlignment="1">
      <alignment wrapText="1"/>
    </xf>
    <xf numFmtId="1" fontId="16" fillId="0" borderId="18" xfId="0" applyNumberFormat="1" applyFont="1" applyBorder="1" applyAlignment="1">
      <alignment wrapText="1"/>
    </xf>
    <xf numFmtId="0" fontId="12" fillId="0" borderId="19" xfId="0" applyFont="1" applyBorder="1" applyAlignment="1">
      <alignment wrapText="1"/>
    </xf>
    <xf numFmtId="169" fontId="16" fillId="0" borderId="15" xfId="0" applyNumberFormat="1" applyFont="1" applyBorder="1" applyAlignment="1">
      <alignment horizontal="right" wrapText="1"/>
    </xf>
    <xf numFmtId="0" fontId="12" fillId="0" borderId="16" xfId="0" applyFont="1" applyBorder="1" applyAlignment="1">
      <alignment wrapText="1"/>
    </xf>
    <xf numFmtId="0" fontId="7" fillId="0" borderId="0" xfId="0" applyFont="1" applyAlignment="1">
      <alignment wrapText="1"/>
    </xf>
    <xf numFmtId="3" fontId="32" fillId="0" borderId="0" xfId="0" applyNumberFormat="1" applyFont="1" applyAlignment="1">
      <alignment wrapText="1"/>
    </xf>
    <xf numFmtId="3" fontId="2" fillId="0" borderId="0" xfId="0" applyNumberFormat="1" applyFont="1"/>
    <xf numFmtId="0" fontId="34" fillId="0" borderId="0" xfId="0" applyFont="1" applyAlignment="1">
      <alignment vertical="center" wrapText="1"/>
    </xf>
    <xf numFmtId="0" fontId="34" fillId="0" borderId="0" xfId="0" applyFont="1" applyAlignment="1">
      <alignment vertical="center"/>
    </xf>
    <xf numFmtId="0" fontId="35" fillId="0" borderId="0" xfId="0" applyFont="1"/>
    <xf numFmtId="0" fontId="34" fillId="0" borderId="0" xfId="0" applyFont="1"/>
    <xf numFmtId="0" fontId="35" fillId="0" borderId="0" xfId="0" applyFont="1" applyAlignment="1">
      <alignment horizontal="right"/>
    </xf>
    <xf numFmtId="17" fontId="35" fillId="0" borderId="0" xfId="0" applyNumberFormat="1" applyFont="1" applyAlignment="1">
      <alignment horizontal="right"/>
    </xf>
    <xf numFmtId="0" fontId="35" fillId="0" borderId="0" xfId="0" applyFont="1" applyAlignment="1">
      <alignment vertical="center" wrapText="1"/>
    </xf>
    <xf numFmtId="0" fontId="36" fillId="0" borderId="24" xfId="0" applyFont="1" applyBorder="1" applyAlignment="1">
      <alignment horizontal="center" vertical="center" wrapText="1"/>
    </xf>
    <xf numFmtId="17" fontId="35" fillId="0" borderId="24" xfId="0" applyNumberFormat="1" applyFont="1" applyBorder="1" applyAlignment="1">
      <alignment horizontal="center" vertical="center" wrapText="1"/>
    </xf>
    <xf numFmtId="170" fontId="35" fillId="0" borderId="24" xfId="0" applyNumberFormat="1" applyFont="1" applyBorder="1" applyAlignment="1">
      <alignment horizontal="center" vertical="center" wrapText="1"/>
    </xf>
    <xf numFmtId="0" fontId="35" fillId="10" borderId="24" xfId="0" applyFont="1" applyFill="1" applyBorder="1" applyAlignment="1">
      <alignment vertical="center" wrapText="1"/>
    </xf>
    <xf numFmtId="3" fontId="34" fillId="10" borderId="24" xfId="0" applyNumberFormat="1" applyFont="1" applyFill="1" applyBorder="1" applyAlignment="1">
      <alignment vertical="center"/>
    </xf>
    <xf numFmtId="0" fontId="35" fillId="0" borderId="25" xfId="0" applyFont="1" applyBorder="1" applyAlignment="1">
      <alignment vertical="center" wrapText="1"/>
    </xf>
    <xf numFmtId="3" fontId="34" fillId="0" borderId="25" xfId="0" applyNumberFormat="1" applyFont="1" applyBorder="1" applyAlignment="1">
      <alignment vertical="center"/>
    </xf>
    <xf numFmtId="0" fontId="35" fillId="11" borderId="26" xfId="0" applyFont="1" applyFill="1" applyBorder="1" applyAlignment="1">
      <alignment vertical="center" wrapText="1"/>
    </xf>
    <xf numFmtId="3" fontId="34" fillId="11" borderId="27" xfId="0" applyNumberFormat="1" applyFont="1" applyFill="1" applyBorder="1" applyAlignment="1">
      <alignment vertical="center"/>
    </xf>
    <xf numFmtId="3" fontId="34" fillId="11" borderId="10" xfId="0" applyNumberFormat="1" applyFont="1" applyFill="1" applyBorder="1" applyAlignment="1">
      <alignment vertical="center"/>
    </xf>
    <xf numFmtId="0" fontId="34" fillId="10" borderId="24" xfId="0" applyFont="1" applyFill="1" applyBorder="1" applyAlignment="1">
      <alignment vertical="center" wrapText="1"/>
    </xf>
    <xf numFmtId="0" fontId="34" fillId="2" borderId="24" xfId="0" applyFont="1" applyFill="1" applyBorder="1" applyAlignment="1">
      <alignment vertical="center" wrapText="1"/>
    </xf>
    <xf numFmtId="3" fontId="34" fillId="2" borderId="24" xfId="0" applyNumberFormat="1" applyFont="1" applyFill="1" applyBorder="1" applyAlignment="1">
      <alignment vertical="center"/>
    </xf>
    <xf numFmtId="0" fontId="35" fillId="0" borderId="24" xfId="0" applyFont="1" applyBorder="1" applyAlignment="1">
      <alignment vertical="center" wrapText="1"/>
    </xf>
    <xf numFmtId="3" fontId="34" fillId="12" borderId="24" xfId="0" applyNumberFormat="1" applyFont="1" applyFill="1" applyBorder="1" applyAlignment="1">
      <alignment vertical="center"/>
    </xf>
    <xf numFmtId="0" fontId="35" fillId="0" borderId="27" xfId="0" applyFont="1" applyBorder="1" applyAlignment="1">
      <alignment vertical="center" wrapText="1"/>
    </xf>
    <xf numFmtId="3" fontId="34" fillId="0" borderId="27" xfId="0" applyNumberFormat="1" applyFont="1" applyBorder="1" applyAlignment="1">
      <alignment vertical="center"/>
    </xf>
    <xf numFmtId="3" fontId="34" fillId="11" borderId="0" xfId="0" applyNumberFormat="1" applyFont="1" applyFill="1" applyAlignment="1">
      <alignment vertical="center"/>
    </xf>
    <xf numFmtId="0" fontId="34" fillId="0" borderId="24" xfId="0" applyFont="1" applyBorder="1" applyAlignment="1">
      <alignment vertical="center" wrapText="1"/>
    </xf>
    <xf numFmtId="0" fontId="35" fillId="11" borderId="26" xfId="0" applyFont="1" applyFill="1" applyBorder="1" applyAlignment="1">
      <alignment vertical="center"/>
    </xf>
    <xf numFmtId="0" fontId="34" fillId="11" borderId="27" xfId="0" applyFont="1" applyFill="1" applyBorder="1" applyAlignment="1">
      <alignment vertical="center"/>
    </xf>
    <xf numFmtId="0" fontId="34" fillId="11" borderId="10" xfId="0" applyFont="1" applyFill="1" applyBorder="1" applyAlignment="1">
      <alignment vertical="center"/>
    </xf>
    <xf numFmtId="0" fontId="16" fillId="0" borderId="0" xfId="0" applyFont="1"/>
    <xf numFmtId="0" fontId="12" fillId="0" borderId="14" xfId="0" applyFont="1" applyBorder="1" applyAlignment="1">
      <alignment vertical="center"/>
    </xf>
    <xf numFmtId="0" fontId="12" fillId="0" borderId="14" xfId="0" applyFont="1" applyBorder="1" applyAlignment="1">
      <alignment horizontal="right" vertical="center"/>
    </xf>
    <xf numFmtId="0" fontId="12" fillId="0" borderId="0" xfId="0" applyFont="1" applyAlignment="1">
      <alignment vertical="center"/>
    </xf>
    <xf numFmtId="0" fontId="16" fillId="0" borderId="0" xfId="0" applyFont="1" applyAlignment="1">
      <alignment vertical="center"/>
    </xf>
    <xf numFmtId="42" fontId="16" fillId="0" borderId="0" xfId="0" applyNumberFormat="1" applyFont="1" applyAlignment="1">
      <alignment vertical="center"/>
    </xf>
    <xf numFmtId="171" fontId="16" fillId="0" borderId="0" xfId="0" applyNumberFormat="1" applyFont="1" applyAlignment="1">
      <alignment vertical="center"/>
    </xf>
    <xf numFmtId="0" fontId="16" fillId="0" borderId="0" xfId="0" applyFont="1" applyAlignment="1">
      <alignment vertical="center" wrapText="1"/>
    </xf>
    <xf numFmtId="41" fontId="16" fillId="0" borderId="0" xfId="0" applyNumberFormat="1" applyFont="1" applyAlignment="1">
      <alignment vertical="center"/>
    </xf>
    <xf numFmtId="0" fontId="12" fillId="0" borderId="0" xfId="0" applyFont="1" applyAlignment="1">
      <alignment vertical="center" wrapText="1"/>
    </xf>
    <xf numFmtId="169" fontId="16" fillId="0" borderId="0" xfId="0" applyNumberFormat="1" applyFont="1" applyAlignment="1">
      <alignment vertical="center"/>
    </xf>
    <xf numFmtId="41" fontId="16" fillId="0" borderId="0" xfId="0" applyNumberFormat="1" applyFont="1" applyAlignment="1">
      <alignment vertical="center" wrapText="1"/>
    </xf>
    <xf numFmtId="169" fontId="16" fillId="0" borderId="0" xfId="0" applyNumberFormat="1" applyFont="1" applyAlignment="1">
      <alignment vertical="center" wrapText="1"/>
    </xf>
    <xf numFmtId="0" fontId="12" fillId="0" borderId="20" xfId="0" applyFont="1" applyBorder="1" applyAlignment="1">
      <alignment vertical="center" wrapText="1"/>
    </xf>
    <xf numFmtId="42" fontId="16" fillId="0" borderId="20" xfId="0" applyNumberFormat="1" applyFont="1" applyBorder="1" applyAlignment="1">
      <alignment vertical="center" wrapText="1"/>
    </xf>
    <xf numFmtId="42" fontId="16" fillId="0" borderId="0" xfId="0" applyNumberFormat="1" applyFont="1" applyAlignment="1">
      <alignment vertical="center" wrapText="1"/>
    </xf>
    <xf numFmtId="4" fontId="16" fillId="0" borderId="0" xfId="0" applyNumberFormat="1" applyFont="1" applyAlignment="1">
      <alignment vertical="center" wrapText="1"/>
    </xf>
    <xf numFmtId="4" fontId="16" fillId="0" borderId="20" xfId="0" applyNumberFormat="1" applyFont="1" applyBorder="1" applyAlignment="1">
      <alignment vertical="center" wrapText="1"/>
    </xf>
    <xf numFmtId="9" fontId="16" fillId="0" borderId="20" xfId="0" applyNumberFormat="1" applyFont="1" applyBorder="1" applyAlignment="1">
      <alignment vertical="center" wrapText="1"/>
    </xf>
    <xf numFmtId="0" fontId="24" fillId="0" borderId="28" xfId="0" applyFont="1" applyBorder="1" applyAlignment="1">
      <alignment vertical="center" wrapText="1"/>
    </xf>
    <xf numFmtId="1" fontId="27" fillId="0" borderId="28" xfId="0" applyNumberFormat="1" applyFont="1" applyBorder="1" applyAlignment="1">
      <alignment vertical="center" wrapText="1"/>
    </xf>
    <xf numFmtId="1" fontId="27" fillId="0" borderId="0" xfId="0" applyNumberFormat="1" applyFont="1" applyAlignment="1">
      <alignment vertical="center" wrapText="1"/>
    </xf>
    <xf numFmtId="9" fontId="16" fillId="0" borderId="0" xfId="0" applyNumberFormat="1" applyFont="1" applyAlignment="1">
      <alignment vertical="center"/>
    </xf>
    <xf numFmtId="0" fontId="38" fillId="0" borderId="0" xfId="0" applyFont="1"/>
    <xf numFmtId="41" fontId="28" fillId="0" borderId="0" xfId="0" applyNumberFormat="1" applyFont="1"/>
    <xf numFmtId="0" fontId="28" fillId="0" borderId="0" xfId="0" applyFont="1"/>
    <xf numFmtId="41" fontId="8" fillId="0" borderId="0" xfId="0" applyNumberFormat="1" applyFont="1" applyAlignment="1">
      <alignment horizontal="right"/>
    </xf>
    <xf numFmtId="41" fontId="8" fillId="0" borderId="0" xfId="0" applyNumberFormat="1" applyFont="1"/>
    <xf numFmtId="41" fontId="28" fillId="0" borderId="0" xfId="0" applyNumberFormat="1" applyFont="1" applyAlignment="1">
      <alignment horizontal="right"/>
    </xf>
    <xf numFmtId="0" fontId="8" fillId="0" borderId="0" xfId="0" applyFont="1" applyAlignment="1">
      <alignment wrapText="1"/>
    </xf>
    <xf numFmtId="41" fontId="28" fillId="0" borderId="0" xfId="0" applyNumberFormat="1" applyFont="1" applyAlignment="1">
      <alignment wrapText="1"/>
    </xf>
    <xf numFmtId="0" fontId="28" fillId="0" borderId="0" xfId="0" applyFont="1" applyAlignment="1">
      <alignment wrapText="1"/>
    </xf>
    <xf numFmtId="0" fontId="39" fillId="0" borderId="0" xfId="0" applyFont="1" applyAlignment="1">
      <alignment wrapText="1"/>
    </xf>
    <xf numFmtId="0" fontId="40" fillId="0" borderId="0" xfId="0" applyFont="1" applyAlignment="1">
      <alignment wrapText="1"/>
    </xf>
    <xf numFmtId="42" fontId="28" fillId="0" borderId="0" xfId="0" applyNumberFormat="1" applyFont="1" applyAlignment="1">
      <alignment wrapText="1"/>
    </xf>
    <xf numFmtId="42" fontId="28" fillId="0" borderId="20" xfId="0" applyNumberFormat="1" applyFont="1" applyBorder="1" applyAlignment="1">
      <alignment wrapText="1"/>
    </xf>
    <xf numFmtId="41" fontId="28" fillId="0" borderId="0" xfId="0" applyNumberFormat="1" applyFont="1" applyAlignment="1">
      <alignment horizontal="left" wrapText="1"/>
    </xf>
    <xf numFmtId="0" fontId="8" fillId="0" borderId="0" xfId="0" applyFont="1" applyAlignment="1" applyProtection="1">
      <alignment wrapText="1"/>
      <protection locked="0"/>
    </xf>
    <xf numFmtId="0" fontId="40" fillId="0" borderId="0" xfId="0" applyFont="1" applyAlignment="1" applyProtection="1">
      <alignment wrapText="1"/>
      <protection locked="0"/>
    </xf>
    <xf numFmtId="42" fontId="28" fillId="0" borderId="28" xfId="0" applyNumberFormat="1" applyFont="1" applyBorder="1" applyAlignment="1">
      <alignment wrapText="1"/>
    </xf>
  </cellXfs>
  <cellStyles count="9">
    <cellStyle name="Comma" xfId="1" builtinId="3"/>
    <cellStyle name="Currency" xfId="2" builtinId="4"/>
    <cellStyle name="Normal" xfId="0" builtinId="0"/>
    <cellStyle name="Normal_Plan C FAEs" xfId="3" xr:uid="{00000000-0005-0000-0000-000003000000}"/>
    <cellStyle name="Output Amounts" xfId="4" xr:uid="{00000000-0005-0000-0000-000004000000}"/>
    <cellStyle name="Output Column Headings" xfId="5" xr:uid="{00000000-0005-0000-0000-000005000000}"/>
    <cellStyle name="Output Line Items" xfId="6" xr:uid="{00000000-0005-0000-0000-000006000000}"/>
    <cellStyle name="Output Report Heading" xfId="7" xr:uid="{00000000-0005-0000-0000-000007000000}"/>
    <cellStyle name="Output Report Title" xfId="8"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14</xdr:col>
      <xdr:colOff>91440</xdr:colOff>
      <xdr:row>8</xdr:row>
      <xdr:rowOff>97155</xdr:rowOff>
    </xdr:from>
    <xdr:to>
      <xdr:col>25</xdr:col>
      <xdr:colOff>372110</xdr:colOff>
      <xdr:row>48</xdr:row>
      <xdr:rowOff>137823</xdr:rowOff>
    </xdr:to>
    <xdr:sp macro="" textlink="">
      <xdr:nvSpPr>
        <xdr:cNvPr id="2" name="Text Box 5" descr="12 Month Profit &amp; Loss Projection Template">
          <a:extLst>
            <a:ext uri="{FF2B5EF4-FFF2-40B4-BE49-F238E27FC236}">
              <a16:creationId xmlns:a16="http://schemas.microsoft.com/office/drawing/2014/main" id="{8921218C-9845-4140-9BFB-0491DE27B488}"/>
            </a:ext>
          </a:extLst>
        </xdr:cNvPr>
        <xdr:cNvSpPr txBox="1">
          <a:spLocks noChangeArrowheads="1"/>
        </xdr:cNvSpPr>
      </xdr:nvSpPr>
      <xdr:spPr bwMode="auto">
        <a:xfrm>
          <a:off x="6522720" y="2947035"/>
          <a:ext cx="6818630" cy="6433848"/>
        </a:xfrm>
        <a:prstGeom prst="rect">
          <a:avLst/>
        </a:prstGeom>
        <a:solidFill>
          <a:srgbClr val="DBE2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sng" strike="noStrike" baseline="0">
              <a:solidFill>
                <a:srgbClr val="000000"/>
              </a:solidFill>
              <a:latin typeface="Arial"/>
              <a:cs typeface="Arial"/>
            </a:rPr>
            <a:t>Notes on Preparation</a:t>
          </a:r>
        </a:p>
        <a:p>
          <a:pPr algn="l" rtl="0">
            <a:defRPr sz="1000"/>
          </a:pPr>
          <a:endParaRPr lang="en-US" sz="1000" b="1" i="0" u="sng" strike="noStrike" baseline="0">
            <a:solidFill>
              <a:srgbClr val="000000"/>
            </a:solidFill>
            <a:latin typeface="Arial"/>
            <a:cs typeface="Arial"/>
          </a:endParaRPr>
        </a:p>
        <a:p>
          <a:pPr algn="l" rtl="0">
            <a:defRPr sz="1000"/>
          </a:pPr>
          <a:r>
            <a:rPr lang="en-US" sz="1000" b="1" i="1" u="none" strike="noStrike" baseline="0">
              <a:solidFill>
                <a:srgbClr val="000000"/>
              </a:solidFill>
              <a:latin typeface="Arial"/>
              <a:cs typeface="Arial"/>
            </a:rPr>
            <a:t>You may want to print this information to use as reference later. To delete these instructions, click the border of this text box and then press the DELETE key.</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You should change "category 1, category 2", etc. labels to the actual names of your sales categories. Enter sales for each category for each month. The spreadsheet will add up total annual sales.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COST OF GOODS SOLD (also called Cost of Sales or COGS): COGS are those expenses directly related to producing or buying your products or services. For example, purchases of inventory or raw materials, as well as the wages (and payroll taxes) of employees directly involved in producing your products/services, are included in COGS. These expenses usually go up and down along with the volume of production or sales. Study your records to determine COGS for each sales category. Control of COGS is the key to profitability for most businesses, so approach this part of your forecast with great care. For each category of product/service, analyze the elements of COGS: how much for labor, for materials, for packing, for shipping, for sales commissions, etc.? Compare the Cost of Goods Sold and Gross Profit of your various sales categories. Which are most profitable, and which are least - and why? Underestimating COGS can lead to under pricing, which can destroy your ability to earn a profit. Research carefully and be realistic. Enter the COGS for each category of sales for each month. In the "%" columns, the spreadsheet will show the COGS as a % of sales dollars for that category.</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GROSS PROFIT: Gross Profit is Total Sales minus Total COGS.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OPERATING EXPENSES (also called Overhead): These are necessary expenses which, however, are not directly related to making or buying your products/services. Rent, utilities, telephone, interest, and the salaries (and payroll taxes) of office and management employees are examples. Change the names of the Expense categories to suit your type of business and your accounting system.  You may need to combine some categories, however, to stay within the 20 line limit of the spreadsheet. Most operating expenses remain reasonably fixed regardless of changes in sales volume. Some, like sales commissions, may vary with sales. Some, like utilities, may vary with the time of year. Your projections should reflect these fluctuations. The only rule is that the projections should simulate your financial reality as nearly as possible. </a:t>
          </a:r>
          <a:br>
            <a:rPr lang="en-US" sz="1000" b="0" i="0" u="none" strike="noStrike" baseline="0">
              <a:solidFill>
                <a:srgbClr val="000000"/>
              </a:solidFill>
              <a:latin typeface="Arial"/>
              <a:cs typeface="Arial"/>
            </a:rPr>
          </a:b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NET PROFIT: The spreadsheet will subtract Total Operating Expenses from Gross Profit to calculate Net Profit.</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INDUSTRY AVERAGES: Industry average data is commonly available from industry associations, major manufacturers who are suppliers to your industry, and local colleges, Chambers of Commerce, and public libraries. One common source is the book Statement Studies published annually by Robert Morris Associates. It can be found in major libraries, and your banker almost surely has a copy. It is unlikely that your expenses will be exactly in line with industry averages, but they can be helpful in areas in which expenses may be out of line.</a:t>
          </a:r>
        </a:p>
        <a:p>
          <a:pPr algn="l" rtl="0">
            <a:defRPr sz="1000"/>
          </a:pPr>
          <a:endParaRPr lang="en-US" sz="1000" b="0" i="0" u="none" strike="noStrike" baseline="0">
            <a:solidFill>
              <a:srgbClr val="000000"/>
            </a:solidFill>
            <a:latin typeface="Arial"/>
            <a:cs typeface="Arial"/>
          </a:endParaRPr>
        </a:p>
      </xdr:txBody>
    </xdr:sp>
    <xdr:clientData/>
  </xdr:twoCellAnchor>
  <xdr:twoCellAnchor editAs="oneCell">
    <xdr:from>
      <xdr:col>0</xdr:col>
      <xdr:colOff>0</xdr:colOff>
      <xdr:row>0</xdr:row>
      <xdr:rowOff>0</xdr:rowOff>
    </xdr:from>
    <xdr:to>
      <xdr:col>16</xdr:col>
      <xdr:colOff>495300</xdr:colOff>
      <xdr:row>6</xdr:row>
      <xdr:rowOff>137160</xdr:rowOff>
    </xdr:to>
    <xdr:pic>
      <xdr:nvPicPr>
        <xdr:cNvPr id="3" name="Picture 1">
          <a:extLst>
            <a:ext uri="{FF2B5EF4-FFF2-40B4-BE49-F238E27FC236}">
              <a16:creationId xmlns:a16="http://schemas.microsoft.com/office/drawing/2014/main" id="{1F969979-4D8A-414C-88DE-A9A340FD2E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2489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37465</xdr:colOff>
      <xdr:row>0</xdr:row>
      <xdr:rowOff>50800</xdr:rowOff>
    </xdr:from>
    <xdr:to>
      <xdr:col>23</xdr:col>
      <xdr:colOff>37465</xdr:colOff>
      <xdr:row>27</xdr:row>
      <xdr:rowOff>180975</xdr:rowOff>
    </xdr:to>
    <xdr:sp macro="" textlink="">
      <xdr:nvSpPr>
        <xdr:cNvPr id="2" name="Text Box 7">
          <a:extLst>
            <a:ext uri="{FF2B5EF4-FFF2-40B4-BE49-F238E27FC236}">
              <a16:creationId xmlns:a16="http://schemas.microsoft.com/office/drawing/2014/main" id="{3D686450-EF3C-4CF4-BFEA-01C8700B0F31}"/>
            </a:ext>
          </a:extLst>
        </xdr:cNvPr>
        <xdr:cNvSpPr txBox="1">
          <a:spLocks noChangeArrowheads="1"/>
        </xdr:cNvSpPr>
      </xdr:nvSpPr>
      <xdr:spPr bwMode="auto">
        <a:xfrm>
          <a:off x="14980285" y="50800"/>
          <a:ext cx="3962400" cy="6500495"/>
        </a:xfrm>
        <a:prstGeom prst="rect">
          <a:avLst/>
        </a:prstGeom>
        <a:solidFill>
          <a:srgbClr val="F1EFFF"/>
        </a:solidFill>
        <a:ln w="9525">
          <a:solidFill>
            <a:srgbClr xmlns:mc="http://schemas.openxmlformats.org/markup-compatibility/2006" xmlns:a14="http://schemas.microsoft.com/office/drawing/2010/main" val="808080" mc:Ignorable="a14" a14:legacySpreadsheetColorIndex="23"/>
          </a:solidFill>
          <a:miter lim="800000"/>
          <a:headEnd/>
          <a:tailEnd/>
        </a:ln>
      </xdr:spPr>
      <xdr:txBody>
        <a:bodyPr vertOverflow="clip" wrap="square" lIns="91440" tIns="45720" rIns="91440" bIns="45720" anchor="t" upright="1"/>
        <a:lstStyle/>
        <a:p>
          <a:pPr algn="l" rtl="0">
            <a:defRPr sz="1000"/>
          </a:pPr>
          <a:r>
            <a:rPr lang="en-US" sz="1100" b="1" i="0" u="none" strike="noStrike" baseline="0">
              <a:solidFill>
                <a:srgbClr val="000000"/>
              </a:solidFill>
              <a:latin typeface="Arial"/>
              <a:cs typeface="Arial"/>
            </a:rPr>
            <a:t>Notes on Preparation</a:t>
          </a:r>
          <a:endParaRPr lang="en-US" sz="800" b="1" i="0" u="none" strike="noStrike" baseline="0">
            <a:solidFill>
              <a:srgbClr val="000000"/>
            </a:solidFill>
            <a:latin typeface="Arial"/>
            <a:cs typeface="Arial"/>
          </a:endParaRPr>
        </a:p>
        <a:p>
          <a:pPr algn="l" rtl="0">
            <a:defRPr sz="1000"/>
          </a:pPr>
          <a:endParaRPr lang="en-US" sz="800" b="1" i="0" u="none" strike="noStrike" baseline="0">
            <a:solidFill>
              <a:srgbClr val="000000"/>
            </a:solidFill>
            <a:latin typeface="Arial"/>
            <a:cs typeface="Arial"/>
          </a:endParaRPr>
        </a:p>
        <a:p>
          <a:pPr algn="l" rtl="0">
            <a:defRPr sz="1000"/>
          </a:pPr>
          <a:r>
            <a:rPr lang="en-US" sz="900" b="1" i="1" u="none" strike="noStrike" baseline="0">
              <a:solidFill>
                <a:srgbClr val="000000"/>
              </a:solidFill>
              <a:latin typeface="Arial"/>
              <a:cs typeface="Arial"/>
            </a:rPr>
            <a:t>You may want to print this information to use as reference later. To delete these instructions, click the border of this text box and then press the DELETE key.</a:t>
          </a:r>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Refer back to your Profit &amp; Loss Projection.  Line-by-line ask yourself when you should expect cash to come and go. You have already done a sales projection, now you must predict when you will actually collect from customers. On the expense side, you have previously projected expenses; now predict when you will actually have to write the check to pay those bills. Most items will be the same as on the Profit &amp; Loss Projection. Rent and utility bills, for instance, are usually paid in the month they are incurred. Other items will differ from the Profit &amp; Loss view.  Insurance and some types of taxes, for example, may actually be payable quarterly or semiannually, even though you recognize them as monthly expenses. Just try to make the Cash Flow as realistic as you can line by line. The payoff for you will be an ability to manage and forecast working capital needs. Change the category labels in the left column as needed to fit your accounting system.</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Note that lines for 'Loan principal payment' through 'Owners' Withdrawal' are for items that always are different on the Cash Flow than on the Profit &amp; Loss.  Loan Principal Payment, Capital Purchases, and Owner's Draw simply do not, by the rules of accounting, show up on the Profit &amp; Loss Projection. They do, however, definitely take cash out of the business, and so need to be included in your Cash plan. On the other hand, you will not find Depreciation on the Cash Flow because you never write a check for Depreciation. Cash from Loans Received and Owners' Injections go in the "Loan/ other cash inj." row. The "Pre-Startup" column is for cash outlays prior to the time covered by the Cash Flow. It is intended primarily for new business startups or major expansion projects where a great deal of cash must go out before operations commence. The bottom section, "ESSENTIAL OPERATING DATA", is not actually part of the Cash model, but it allows you to track items which have a heavy impact on cash. The Cash Flow Projection is the best way to forecast working capital needs. Begin with the amount of Cash on Hand you expect to have. Project all the Receipts and Paid Outs for the year. If CASH POSITION gets dangerously low or negative, you will need to pump in more cash to keep the operation afloat. Many profitable businesses have gone under because they could not pay the bills while waiting for money to flow in. Your creditors do not care about profit; they want to be paid with cash. Cash is the financial lifeblood of your business.</a:t>
          </a:r>
        </a:p>
        <a:p>
          <a:pPr algn="l" rtl="0">
            <a:defRPr sz="1000"/>
          </a:pPr>
          <a:endParaRPr lang="en-US" sz="900" b="0" i="0" u="none" strike="noStrike" baseline="0">
            <a:solidFill>
              <a:srgbClr val="000000"/>
            </a:solidFill>
            <a:latin typeface="Arial"/>
            <a:cs typeface="Arial"/>
          </a:endParaRPr>
        </a:p>
      </xdr:txBody>
    </xdr:sp>
    <xdr:clientData/>
  </xdr:twoCellAnchor>
  <xdr:twoCellAnchor editAs="oneCell">
    <xdr:from>
      <xdr:col>0</xdr:col>
      <xdr:colOff>1</xdr:colOff>
      <xdr:row>0</xdr:row>
      <xdr:rowOff>0</xdr:rowOff>
    </xdr:from>
    <xdr:to>
      <xdr:col>1</xdr:col>
      <xdr:colOff>784861</xdr:colOff>
      <xdr:row>0</xdr:row>
      <xdr:rowOff>1034713</xdr:rowOff>
    </xdr:to>
    <xdr:pic>
      <xdr:nvPicPr>
        <xdr:cNvPr id="3" name="Picture 2">
          <a:extLst>
            <a:ext uri="{FF2B5EF4-FFF2-40B4-BE49-F238E27FC236}">
              <a16:creationId xmlns:a16="http://schemas.microsoft.com/office/drawing/2014/main" id="{3A29417A-9E47-43E4-8964-BB7EB74691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0"/>
          <a:ext cx="3741420" cy="10347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114300</xdr:colOff>
      <xdr:row>10</xdr:row>
      <xdr:rowOff>19050</xdr:rowOff>
    </xdr:from>
    <xdr:to>
      <xdr:col>11</xdr:col>
      <xdr:colOff>552450</xdr:colOff>
      <xdr:row>52</xdr:row>
      <xdr:rowOff>0</xdr:rowOff>
    </xdr:to>
    <xdr:sp macro="" textlink="">
      <xdr:nvSpPr>
        <xdr:cNvPr id="2" name="Text Box 6" descr="Need Help? Ask SCORE.">
          <a:extLst>
            <a:ext uri="{FF2B5EF4-FFF2-40B4-BE49-F238E27FC236}">
              <a16:creationId xmlns:a16="http://schemas.microsoft.com/office/drawing/2014/main" id="{C6428AF5-3499-4CA3-9A8D-A02A07C49583}"/>
            </a:ext>
          </a:extLst>
        </xdr:cNvPr>
        <xdr:cNvSpPr txBox="1">
          <a:spLocks noChangeArrowheads="1"/>
        </xdr:cNvSpPr>
      </xdr:nvSpPr>
      <xdr:spPr bwMode="auto">
        <a:xfrm>
          <a:off x="3200400" y="2861310"/>
          <a:ext cx="5314950" cy="6701790"/>
        </a:xfrm>
        <a:prstGeom prst="rect">
          <a:avLst/>
        </a:prstGeom>
        <a:solidFill>
          <a:srgbClr val="DBE2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sng" strike="noStrike" baseline="0">
              <a:solidFill>
                <a:srgbClr val="000000"/>
              </a:solidFill>
              <a:latin typeface="Arial"/>
              <a:cs typeface="Arial"/>
            </a:rPr>
            <a:t>Notes on Preparation</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1" i="1" u="none" strike="noStrike" baseline="0">
              <a:solidFill>
                <a:srgbClr val="000000"/>
              </a:solidFill>
              <a:latin typeface="Arial"/>
              <a:cs typeface="Arial"/>
            </a:rPr>
            <a:t>You may want to print this information to use as reference later. To delete these instructions, click the border of this text box and then press the DELETE key.</a:t>
          </a:r>
          <a:endParaRPr lang="en-US" sz="1000" b="0" i="1"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Projecting your balance sheet can be quite a complex accounting problem, but that does not mean you need to be a professional accountant to do it or to benefit from the exercise. The desired result is not a perfect forecast, but rather a thoughtful plan detailing what additional resources will be needed by the company, where they will be needed, and how they will be financed. Using your last historical balance sheet as a starting point, project what your balance sheet will look like at the end of the 12 month period covered in your Profit &amp; Loss and Cash Flow forecasts. How will the year's operations affect assets, debts and owners’ equity?  For example, if you are planning significant sales growth in the coming year, go through the balance sheet item by item and think about the probably effects of assets.</a:t>
          </a:r>
        </a:p>
        <a:p>
          <a:pPr algn="l" rtl="0">
            <a:defRPr sz="1000"/>
          </a:pPr>
          <a:r>
            <a:rPr lang="en-US" sz="1000" b="0" i="0" u="none" strike="noStrike" baseline="0">
              <a:solidFill>
                <a:srgbClr val="000000"/>
              </a:solidFill>
              <a:latin typeface="Arial"/>
              <a:cs typeface="Arial"/>
            </a:rPr>
            <a:t>Ex. ASSETS: Inventory and Accounts Receivable will have to grow. New equipment                                 may be needed for increased production. You may draw down on cash to finance some of this.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Now, since a balance must balance, you need to consider the effects on the other half of the statement, liabilities and equity. </a:t>
          </a:r>
        </a:p>
        <a:p>
          <a:pPr algn="l" rtl="0">
            <a:defRPr sz="1000"/>
          </a:pPr>
          <a:r>
            <a:rPr lang="en-US" sz="1000" b="0" i="0" u="none" strike="noStrike" baseline="0">
              <a:solidFill>
                <a:srgbClr val="000000"/>
              </a:solidFill>
              <a:latin typeface="Arial"/>
              <a:cs typeface="Arial"/>
            </a:rPr>
            <a:t>Ex. LIABILITIES &amp; EQUITY: Some of the growth may be financed by profits retained in the business as Retained Earnings. Your Profit &amp; Loss Projection will tell you how much might be available from that source. Funds may be contributed by the owners through contributions of more Invested Capital or loans to the company (Notes Payable to Stockholders). Suppliers may provide some of the financing via increased Accounts Payable. The rest will have to be financed by borrowing, which can be: Short term loans (due within 12 months) such as a line of credit or by Long Term Debt (maturity greater than 12 months).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Technical Tips:</a:t>
          </a:r>
        </a:p>
        <a:p>
          <a:pPr algn="l" rtl="0">
            <a:defRPr sz="1000"/>
          </a:pPr>
          <a:r>
            <a:rPr lang="en-US" sz="1000" b="0" i="0" u="none" strike="noStrike" baseline="0">
              <a:solidFill>
                <a:srgbClr val="000000"/>
              </a:solidFill>
              <a:latin typeface="Arial"/>
              <a:cs typeface="Arial"/>
            </a:rPr>
            <a:t>1. Your firm's balance sheet no doubt has more lines than this template. For clarity and ease of analysis, we recommend you combine categories to fit into this compressed format.</a:t>
          </a:r>
        </a:p>
        <a:p>
          <a:pPr algn="l" rtl="0">
            <a:defRPr sz="1000"/>
          </a:pPr>
          <a:r>
            <a:rPr lang="en-US" sz="1000" b="0" i="0" u="none" strike="noStrike" baseline="0">
              <a:solidFill>
                <a:srgbClr val="000000"/>
              </a:solidFill>
              <a:latin typeface="Arial"/>
              <a:cs typeface="Arial"/>
            </a:rPr>
            <a:t>2. As always for projections, we recommend that you condense your numbers. Most people find it useful to express the values in thousands, rounding to the nearest hundred dollars; for example, $11,459 would be entered as 11.5.</a:t>
          </a:r>
        </a:p>
        <a:p>
          <a:pPr algn="l" rtl="0">
            <a:defRPr sz="1000"/>
          </a:pPr>
          <a:r>
            <a:rPr lang="en-US" sz="1000" b="0" i="0" u="none" strike="noStrike" baseline="0">
              <a:solidFill>
                <a:srgbClr val="000000"/>
              </a:solidFill>
              <a:latin typeface="Arial"/>
              <a:cs typeface="Arial"/>
            </a:rPr>
            <a:t>3. In the Fixed Assets section, the "LESS accumulated depreciation" </a:t>
          </a:r>
        </a:p>
        <a:p>
          <a:pPr algn="l" rtl="0">
            <a:defRPr sz="1000"/>
          </a:pPr>
          <a:r>
            <a:rPr lang="en-US" sz="1000" b="0" i="0" u="none" strike="noStrike" baseline="0">
              <a:solidFill>
                <a:srgbClr val="000000"/>
              </a:solidFill>
              <a:latin typeface="Arial"/>
              <a:cs typeface="Arial"/>
            </a:rPr>
            <a:t>figure is the total of all depreciation accrued over the years on all fixed assets still owned by the company. Be sure to enter it as a negative number so the spreadsheet will subtract it from Total Fixed Assets.</a:t>
          </a:r>
        </a:p>
        <a:p>
          <a:pPr algn="l" rtl="0">
            <a:defRPr sz="1000"/>
          </a:pPr>
          <a:r>
            <a:rPr lang="en-US" sz="1000" b="0" i="0" u="none" strike="noStrike" baseline="0">
              <a:solidFill>
                <a:srgbClr val="000000"/>
              </a:solidFill>
              <a:latin typeface="Arial"/>
              <a:cs typeface="Arial"/>
            </a:rPr>
            <a:t>4. In Owners' Equity, "Retained Earnings-Beginning" is retained earnings as of the last historical balance sheet or the end of the last fiscal year. "Retained Earnings-Current" is net profit for the period of the projections, less any owner's draw (for partnerships and proprietorships) or dividends paid (for corporations).</a:t>
          </a:r>
        </a:p>
      </xdr:txBody>
    </xdr:sp>
    <xdr:clientData/>
  </xdr:twoCellAnchor>
  <xdr:twoCellAnchor editAs="oneCell">
    <xdr:from>
      <xdr:col>0</xdr:col>
      <xdr:colOff>0</xdr:colOff>
      <xdr:row>0</xdr:row>
      <xdr:rowOff>1</xdr:rowOff>
    </xdr:from>
    <xdr:to>
      <xdr:col>6</xdr:col>
      <xdr:colOff>182880</xdr:colOff>
      <xdr:row>1</xdr:row>
      <xdr:rowOff>50036</xdr:rowOff>
    </xdr:to>
    <xdr:pic>
      <xdr:nvPicPr>
        <xdr:cNvPr id="3" name="Picture 2">
          <a:extLst>
            <a:ext uri="{FF2B5EF4-FFF2-40B4-BE49-F238E27FC236}">
              <a16:creationId xmlns:a16="http://schemas.microsoft.com/office/drawing/2014/main" id="{5AC8C7B5-B7DF-428D-8BE0-716909AF14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5097780" cy="12692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156210</xdr:colOff>
      <xdr:row>5</xdr:row>
      <xdr:rowOff>114300</xdr:rowOff>
    </xdr:from>
    <xdr:to>
      <xdr:col>9</xdr:col>
      <xdr:colOff>508617</xdr:colOff>
      <xdr:row>30</xdr:row>
      <xdr:rowOff>49538</xdr:rowOff>
    </xdr:to>
    <xdr:sp macro="" textlink="">
      <xdr:nvSpPr>
        <xdr:cNvPr id="2" name="Text Box 1">
          <a:extLst>
            <a:ext uri="{FF2B5EF4-FFF2-40B4-BE49-F238E27FC236}">
              <a16:creationId xmlns:a16="http://schemas.microsoft.com/office/drawing/2014/main" id="{DA2E68F1-0481-4EE1-BA8B-3BBAB5C3CF64}"/>
            </a:ext>
          </a:extLst>
        </xdr:cNvPr>
        <xdr:cNvSpPr txBox="1">
          <a:spLocks noChangeArrowheads="1"/>
        </xdr:cNvSpPr>
      </xdr:nvSpPr>
      <xdr:spPr bwMode="auto">
        <a:xfrm>
          <a:off x="4499610" y="1836420"/>
          <a:ext cx="3133707" cy="3722378"/>
        </a:xfrm>
        <a:prstGeom prst="rect">
          <a:avLst/>
        </a:prstGeom>
        <a:solidFill>
          <a:srgbClr val="DBE2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900" b="1" i="0" u="sng" strike="noStrike" baseline="0">
              <a:solidFill>
                <a:srgbClr val="000000"/>
              </a:solidFill>
              <a:latin typeface="Arial"/>
              <a:cs typeface="Arial"/>
            </a:rPr>
            <a:t>Notes on Preparation</a:t>
          </a:r>
          <a:endParaRPr lang="en-US" sz="900" b="1" i="0" u="none" strike="noStrike" baseline="0">
            <a:solidFill>
              <a:srgbClr val="000000"/>
            </a:solidFill>
            <a:latin typeface="Arial"/>
            <a:cs typeface="Arial"/>
          </a:endParaRPr>
        </a:p>
        <a:p>
          <a:pPr algn="l" rtl="0">
            <a:defRPr sz="1000"/>
          </a:pPr>
          <a:endParaRPr lang="en-US" sz="900" b="1" i="0" u="none" strike="noStrike" baseline="0">
            <a:solidFill>
              <a:srgbClr val="000000"/>
            </a:solidFill>
            <a:latin typeface="Arial"/>
            <a:cs typeface="Arial"/>
          </a:endParaRPr>
        </a:p>
        <a:p>
          <a:pPr algn="l" rtl="0">
            <a:defRPr sz="1000"/>
          </a:pPr>
          <a:r>
            <a:rPr lang="en-US" sz="900" b="1" i="1" u="none" strike="noStrike" baseline="0">
              <a:solidFill>
                <a:srgbClr val="000000"/>
              </a:solidFill>
              <a:latin typeface="Arial"/>
              <a:cs typeface="Arial"/>
            </a:rPr>
            <a:t>You may want to print this information to use as reference later.  To delete these instructions, click the border of this text box and then press the DELETE key.</a:t>
          </a:r>
          <a:endParaRPr lang="en-US" sz="900" b="1"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Using figures from your Profit and Loss Projection, enter expected annual fixed and variable costs.</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Fixed costs are those that remain the same regardless of your sales volume. They are expressed in dollars. Rent, insurance and real estate taxes, for example, are usually fixed.</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Variable costs are those which change as your volume of business changes. They are expressed as a percent of sales. Inventory, raw materials and direct production labor, for example, are usually variable costs.</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Under the variable expenses column, use whole numbers as a percentage, not decimal numbers. For example, use 45%, rather than .45%.</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For your business, each category of expense may either be fixed or variable, but not both.</a:t>
          </a:r>
        </a:p>
      </xdr:txBody>
    </xdr:sp>
    <xdr:clientData/>
  </xdr:twoCellAnchor>
  <xdr:twoCellAnchor>
    <xdr:from>
      <xdr:col>0</xdr:col>
      <xdr:colOff>49530</xdr:colOff>
      <xdr:row>39</xdr:row>
      <xdr:rowOff>125730</xdr:rowOff>
    </xdr:from>
    <xdr:to>
      <xdr:col>4</xdr:col>
      <xdr:colOff>38107</xdr:colOff>
      <xdr:row>55</xdr:row>
      <xdr:rowOff>38113</xdr:rowOff>
    </xdr:to>
    <xdr:sp macro="" textlink="">
      <xdr:nvSpPr>
        <xdr:cNvPr id="3" name="Text Box 2">
          <a:extLst>
            <a:ext uri="{FF2B5EF4-FFF2-40B4-BE49-F238E27FC236}">
              <a16:creationId xmlns:a16="http://schemas.microsoft.com/office/drawing/2014/main" id="{4FD09881-6251-425A-A4D4-C27D9B84C96C}"/>
            </a:ext>
          </a:extLst>
        </xdr:cNvPr>
        <xdr:cNvSpPr txBox="1">
          <a:spLocks noChangeArrowheads="1"/>
        </xdr:cNvSpPr>
      </xdr:nvSpPr>
      <xdr:spPr bwMode="auto">
        <a:xfrm>
          <a:off x="49530" y="7227570"/>
          <a:ext cx="4331977" cy="2228863"/>
        </a:xfrm>
        <a:prstGeom prst="rect">
          <a:avLst/>
        </a:prstGeom>
        <a:solidFill>
          <a:srgbClr val="DBE2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900" b="1" i="0" u="sng" strike="noStrike" baseline="0">
              <a:solidFill>
                <a:srgbClr val="000000"/>
              </a:solidFill>
              <a:latin typeface="Arial"/>
              <a:cs typeface="Arial"/>
            </a:rPr>
            <a:t>Suggestions</a:t>
          </a:r>
        </a:p>
        <a:p>
          <a:pPr algn="l" rtl="0">
            <a:defRPr sz="1000"/>
          </a:pPr>
          <a:endParaRPr lang="en-US" sz="900" b="1" i="0" u="sng" strike="noStrike" baseline="0">
            <a:solidFill>
              <a:srgbClr val="000000"/>
            </a:solidFill>
            <a:latin typeface="Arial"/>
            <a:cs typeface="Arial"/>
          </a:endParaRPr>
        </a:p>
        <a:p>
          <a:pPr algn="l" rtl="0">
            <a:defRPr sz="1000"/>
          </a:pPr>
          <a:r>
            <a:rPr lang="en-US" sz="900" b="1" i="1" u="none" strike="noStrike" baseline="0">
              <a:solidFill>
                <a:srgbClr val="000000"/>
              </a:solidFill>
              <a:latin typeface="Arial"/>
              <a:cs typeface="Arial"/>
            </a:rPr>
            <a:t>You may want to print this information to use as reference later. To delete these instructions, click the border of this text box and then press the DELETE key.</a:t>
          </a:r>
          <a:endParaRPr lang="en-US" sz="900" b="0" i="0" u="none" strike="noStrike" baseline="0">
            <a:solidFill>
              <a:srgbClr val="000000"/>
            </a:solidFill>
            <a:latin typeface="Arial"/>
            <a:cs typeface="Arial"/>
          </a:endParaRPr>
        </a:p>
        <a:p>
          <a:pPr algn="l" rtl="0">
            <a:lnSpc>
              <a:spcPts val="900"/>
            </a:lnSpc>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The categories of expense shown above are just suggestions. Change the labels to reflect your own accounting systems and type of business. Breakeven is a "big picture" kind of tool; we recommend that you combine expense categories to stay within the 22 lines that this template allows.</a:t>
          </a:r>
        </a:p>
        <a:p>
          <a:pPr algn="l" rtl="0">
            <a:lnSpc>
              <a:spcPts val="900"/>
            </a:lnSpc>
            <a:defRPr sz="1000"/>
          </a:pPr>
          <a:endParaRPr lang="en-US" sz="900" b="0" i="0" u="none" strike="noStrike" baseline="0">
            <a:solidFill>
              <a:srgbClr val="000000"/>
            </a:solidFill>
            <a:latin typeface="Arial"/>
            <a:cs typeface="Arial"/>
          </a:endParaRPr>
        </a:p>
        <a:p>
          <a:pPr algn="l" rtl="0">
            <a:lnSpc>
              <a:spcPts val="900"/>
            </a:lnSpc>
            <a:defRPr sz="1000"/>
          </a:pPr>
          <a:r>
            <a:rPr lang="en-US" sz="900" b="0" i="0" u="none" strike="noStrike" baseline="0">
              <a:solidFill>
                <a:srgbClr val="000000"/>
              </a:solidFill>
              <a:latin typeface="Arial"/>
              <a:cs typeface="Arial"/>
            </a:rPr>
            <a:t>One of the best uses of breakeven analysis is to play with various scenarios. For instance, if you add another person to the payroll, how many extra sales dollars will be needed to recover the extra salary expense? If you borrow, how much will be needed to cover the increased principal and interest payments? Many owners, especially retailers, like to calculate a daily breakdown. This gives everyone a target to shoot at for the day.</a:t>
          </a:r>
        </a:p>
        <a:p>
          <a:pPr algn="l" rtl="0">
            <a:defRPr sz="1000"/>
          </a:pPr>
          <a:endParaRPr lang="en-US" sz="900" b="0" i="0" u="none" strike="noStrike" baseline="0">
            <a:solidFill>
              <a:srgbClr val="000000"/>
            </a:solidFill>
            <a:latin typeface="Arial"/>
            <a:cs typeface="Arial"/>
          </a:endParaRPr>
        </a:p>
        <a:p>
          <a:pPr algn="l" rtl="0">
            <a:lnSpc>
              <a:spcPts val="900"/>
            </a:lnSpc>
            <a:defRPr sz="1000"/>
          </a:pPr>
          <a:endParaRPr lang="en-US" sz="900" b="0" i="0" u="none" strike="noStrike" baseline="0">
            <a:solidFill>
              <a:srgbClr val="000000"/>
            </a:solidFill>
            <a:latin typeface="Arial"/>
            <a:cs typeface="Arial"/>
          </a:endParaRPr>
        </a:p>
      </xdr:txBody>
    </xdr:sp>
    <xdr:clientData/>
  </xdr:twoCellAnchor>
  <xdr:twoCellAnchor editAs="oneCell">
    <xdr:from>
      <xdr:col>0</xdr:col>
      <xdr:colOff>0</xdr:colOff>
      <xdr:row>0</xdr:row>
      <xdr:rowOff>0</xdr:rowOff>
    </xdr:from>
    <xdr:to>
      <xdr:col>4</xdr:col>
      <xdr:colOff>121920</xdr:colOff>
      <xdr:row>2</xdr:row>
      <xdr:rowOff>79705</xdr:rowOff>
    </xdr:to>
    <xdr:pic>
      <xdr:nvPicPr>
        <xdr:cNvPr id="4" name="Picture 1">
          <a:extLst>
            <a:ext uri="{FF2B5EF4-FFF2-40B4-BE49-F238E27FC236}">
              <a16:creationId xmlns:a16="http://schemas.microsoft.com/office/drawing/2014/main" id="{E42AE49F-19FD-40F9-968B-5045F2451F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4465320" cy="491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245745</xdr:colOff>
      <xdr:row>18</xdr:row>
      <xdr:rowOff>78105</xdr:rowOff>
    </xdr:from>
    <xdr:to>
      <xdr:col>18</xdr:col>
      <xdr:colOff>1036324</xdr:colOff>
      <xdr:row>36</xdr:row>
      <xdr:rowOff>59055</xdr:rowOff>
    </xdr:to>
    <xdr:sp macro="" textlink="">
      <xdr:nvSpPr>
        <xdr:cNvPr id="2" name="Text Box 9">
          <a:extLst>
            <a:ext uri="{FF2B5EF4-FFF2-40B4-BE49-F238E27FC236}">
              <a16:creationId xmlns:a16="http://schemas.microsoft.com/office/drawing/2014/main" id="{C487FC52-1D6E-40D7-A33C-13EDA93C17FC}"/>
            </a:ext>
          </a:extLst>
        </xdr:cNvPr>
        <xdr:cNvSpPr txBox="1">
          <a:spLocks noChangeArrowheads="1"/>
        </xdr:cNvSpPr>
      </xdr:nvSpPr>
      <xdr:spPr bwMode="auto">
        <a:xfrm>
          <a:off x="4581525" y="5815965"/>
          <a:ext cx="6711319" cy="2312670"/>
        </a:xfrm>
        <a:prstGeom prst="rect">
          <a:avLst/>
        </a:prstGeom>
        <a:solidFill>
          <a:srgbClr val="DBE2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sng" strike="noStrike" baseline="0">
              <a:solidFill>
                <a:srgbClr val="000000"/>
              </a:solidFill>
              <a:latin typeface="Arial"/>
              <a:cs typeface="Arial"/>
            </a:rPr>
            <a:t>Notes on Preparation</a:t>
          </a:r>
        </a:p>
        <a:p>
          <a:pPr algn="l" rtl="0">
            <a:defRPr sz="1000"/>
          </a:pPr>
          <a:endParaRPr lang="en-US" sz="1000" b="1" i="0" u="sng" strike="noStrike" baseline="0">
            <a:solidFill>
              <a:srgbClr val="000000"/>
            </a:solidFill>
            <a:latin typeface="Arial"/>
            <a:cs typeface="Arial"/>
          </a:endParaRPr>
        </a:p>
        <a:p>
          <a:pPr algn="l" rtl="0">
            <a:defRPr sz="1000"/>
          </a:pPr>
          <a:r>
            <a:rPr lang="en-US" sz="1000" b="1" i="1" u="none" strike="noStrike" baseline="0">
              <a:solidFill>
                <a:srgbClr val="000000"/>
              </a:solidFill>
              <a:latin typeface="Arial"/>
              <a:cs typeface="Arial"/>
            </a:rPr>
            <a:t>You may want to print this information to use as reference later. To delete these instructions, click the border of this text box and then press the DELETE key.</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Forecasting sales of your product or service is the starting point for the financial projections. The sales forecast is the key to the whole financial plan, so it is important to use realistic estimates. Divide your projected monthly sales into "Categories", which are natural divisions that make sense for your type of business. Typical categories might be: product lines, departments, branch locations, customer groups, geographical territories, or contracts. </a:t>
          </a:r>
        </a:p>
        <a:p>
          <a:pPr algn="l" rtl="0">
            <a:defRPr sz="1000"/>
          </a:pPr>
          <a:r>
            <a:rPr lang="en-US" sz="1000" b="0" i="0" u="none" strike="noStrike" baseline="0">
              <a:solidFill>
                <a:srgbClr val="000000"/>
              </a:solidFill>
              <a:latin typeface="Arial"/>
              <a:cs typeface="Arial"/>
            </a:rPr>
            <a:t>Enter the actual category names in the first column, replacing the existing "cat.1, cat.2", etc. Enter annual sales, by category, in the four "Sales History" columns on the right side of the sheet. (Startup businesses may delete this section.) Study your past sales records in detail. Note seasonal or other periodic fluctuations; determine what caused them and when they are expected to recur. Be sure to build these fluctuations into your projections for the coming year. You may forecast sales in dollars using the rows labeled "Total".  Or, if you prefer, you may enter sales in units, then indicate the sales price per (@) unit, and the spreadsheet will automatically calculate the dollar sales volume. </a:t>
          </a:r>
        </a:p>
        <a:p>
          <a:pPr algn="l" rtl="0">
            <a:defRPr sz="1000"/>
          </a:pPr>
          <a:endParaRPr lang="en-US" sz="1000" b="0" i="0" u="none" strike="noStrike" baseline="0">
            <a:solidFill>
              <a:srgbClr val="000000"/>
            </a:solidFill>
            <a:latin typeface="Arial"/>
            <a:cs typeface="Arial"/>
          </a:endParaRPr>
        </a:p>
      </xdr:txBody>
    </xdr:sp>
    <xdr:clientData/>
  </xdr:twoCellAnchor>
  <xdr:twoCellAnchor editAs="oneCell">
    <xdr:from>
      <xdr:col>7</xdr:col>
      <xdr:colOff>342900</xdr:colOff>
      <xdr:row>0</xdr:row>
      <xdr:rowOff>76200</xdr:rowOff>
    </xdr:from>
    <xdr:to>
      <xdr:col>13</xdr:col>
      <xdr:colOff>350520</xdr:colOff>
      <xdr:row>3</xdr:row>
      <xdr:rowOff>38116</xdr:rowOff>
    </xdr:to>
    <xdr:pic>
      <xdr:nvPicPr>
        <xdr:cNvPr id="3" name="Picture 1">
          <a:extLst>
            <a:ext uri="{FF2B5EF4-FFF2-40B4-BE49-F238E27FC236}">
              <a16:creationId xmlns:a16="http://schemas.microsoft.com/office/drawing/2014/main" id="{7A60EBC8-CC7B-4E75-A328-7BC8F51EC9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8680" y="76200"/>
          <a:ext cx="3482340" cy="5486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02"/>
  <sheetViews>
    <sheetView zoomScaleNormal="100" workbookViewId="0">
      <pane xSplit="4" ySplit="3" topLeftCell="E4" activePane="bottomRight" state="frozen"/>
      <selection pane="topRight" activeCell="E1" sqref="E1"/>
      <selection pane="bottomLeft" activeCell="A5" sqref="A5"/>
      <selection pane="bottomRight" activeCell="D59" sqref="D59"/>
    </sheetView>
  </sheetViews>
  <sheetFormatPr defaultColWidth="10.6640625" defaultRowHeight="13.2" outlineLevelCol="1" x14ac:dyDescent="0.25"/>
  <cols>
    <col min="1" max="1" width="8.33203125" style="5" customWidth="1"/>
    <col min="2" max="2" width="6.44140625" style="5" customWidth="1"/>
    <col min="3" max="3" width="11.33203125" style="8" customWidth="1"/>
    <col min="4" max="4" width="39.77734375" style="5" customWidth="1"/>
    <col min="5" max="7" width="11.33203125" style="7" customWidth="1" outlineLevel="1"/>
    <col min="8" max="8" width="11.33203125" style="7" customWidth="1"/>
    <col min="9" max="11" width="11.33203125" style="7" customWidth="1" outlineLevel="1"/>
    <col min="12" max="12" width="11.33203125" style="5" customWidth="1"/>
    <col min="13" max="15" width="11.33203125" style="5" customWidth="1" outlineLevel="1"/>
    <col min="16" max="16" width="11.33203125" style="5" customWidth="1"/>
    <col min="17" max="19" width="11.33203125" style="5" customWidth="1" outlineLevel="1"/>
    <col min="20" max="21" width="11.33203125" style="5" customWidth="1"/>
    <col min="22" max="16384" width="10.6640625" style="4"/>
  </cols>
  <sheetData>
    <row r="1" spans="1:21" ht="18" thickBot="1" x14ac:dyDescent="0.35">
      <c r="A1" s="82" t="s">
        <v>35</v>
      </c>
      <c r="B1" s="59"/>
      <c r="C1" s="60"/>
      <c r="D1" s="61"/>
      <c r="E1" s="6"/>
      <c r="F1" s="56"/>
      <c r="G1" s="57"/>
      <c r="H1" s="4"/>
      <c r="I1" s="9"/>
      <c r="J1" s="9"/>
      <c r="K1" s="9"/>
      <c r="L1" s="2"/>
      <c r="M1" s="1"/>
      <c r="N1" s="1"/>
      <c r="O1" s="1"/>
      <c r="P1" s="6"/>
      <c r="Q1" s="1"/>
      <c r="R1" s="1"/>
      <c r="S1" s="1"/>
      <c r="T1" s="1"/>
      <c r="U1" s="3"/>
    </row>
    <row r="2" spans="1:21" ht="18" customHeight="1" thickBot="1" x14ac:dyDescent="0.35">
      <c r="A2" s="83" t="s">
        <v>61</v>
      </c>
      <c r="B2" s="11"/>
      <c r="C2" s="12"/>
      <c r="D2" s="13"/>
      <c r="F2" s="4"/>
      <c r="G2" s="10"/>
      <c r="H2" s="10"/>
      <c r="I2" s="9"/>
      <c r="J2" s="9"/>
      <c r="K2" s="9"/>
      <c r="L2" s="2"/>
      <c r="M2" s="1"/>
      <c r="N2" s="1"/>
      <c r="O2" s="1"/>
      <c r="P2" s="1"/>
      <c r="Q2" s="1"/>
      <c r="R2" s="1"/>
      <c r="S2" s="1"/>
      <c r="T2" s="1"/>
      <c r="U2" s="3"/>
    </row>
    <row r="3" spans="1:21" s="20" customFormat="1" ht="12" x14ac:dyDescent="0.25">
      <c r="A3" s="14"/>
      <c r="B3" s="14"/>
      <c r="C3" s="15"/>
      <c r="D3" s="14"/>
      <c r="E3" s="16" t="s">
        <v>3</v>
      </c>
      <c r="F3" s="16" t="s">
        <v>4</v>
      </c>
      <c r="G3" s="16" t="s">
        <v>5</v>
      </c>
      <c r="H3" s="17" t="s">
        <v>36</v>
      </c>
      <c r="I3" s="16" t="s">
        <v>6</v>
      </c>
      <c r="J3" s="16" t="s">
        <v>7</v>
      </c>
      <c r="K3" s="16" t="s">
        <v>8</v>
      </c>
      <c r="L3" s="18" t="s">
        <v>37</v>
      </c>
      <c r="M3" s="19" t="s">
        <v>9</v>
      </c>
      <c r="N3" s="19" t="s">
        <v>10</v>
      </c>
      <c r="O3" s="19" t="s">
        <v>11</v>
      </c>
      <c r="P3" s="18" t="s">
        <v>38</v>
      </c>
      <c r="Q3" s="19" t="s">
        <v>0</v>
      </c>
      <c r="R3" s="19" t="s">
        <v>1</v>
      </c>
      <c r="S3" s="19" t="s">
        <v>2</v>
      </c>
      <c r="T3" s="18" t="s">
        <v>39</v>
      </c>
      <c r="U3" s="18" t="s">
        <v>40</v>
      </c>
    </row>
    <row r="4" spans="1:21" s="20" customFormat="1" ht="12" x14ac:dyDescent="0.25">
      <c r="A4" s="72" t="s">
        <v>66</v>
      </c>
      <c r="B4" s="73"/>
      <c r="C4" s="73"/>
      <c r="D4" s="74"/>
      <c r="E4" s="75"/>
      <c r="F4" s="75"/>
      <c r="G4" s="75"/>
      <c r="H4" s="67"/>
      <c r="I4" s="75"/>
      <c r="J4" s="75"/>
      <c r="K4" s="75"/>
      <c r="L4" s="67"/>
      <c r="M4" s="75"/>
      <c r="N4" s="75"/>
      <c r="O4" s="75"/>
      <c r="P4" s="67"/>
      <c r="Q4" s="75"/>
      <c r="R4" s="75"/>
      <c r="S4" s="75"/>
      <c r="T4" s="67"/>
      <c r="U4" s="84"/>
    </row>
    <row r="5" spans="1:21" s="20" customFormat="1" ht="12" x14ac:dyDescent="0.25">
      <c r="A5" s="68" t="s">
        <v>64</v>
      </c>
      <c r="B5" s="69"/>
      <c r="C5" s="69"/>
      <c r="D5" s="69"/>
      <c r="E5" s="70"/>
      <c r="F5" s="70"/>
      <c r="G5" s="70"/>
      <c r="H5" s="67"/>
      <c r="I5" s="70"/>
      <c r="J5" s="70"/>
      <c r="K5" s="70"/>
      <c r="L5" s="67"/>
      <c r="M5" s="70"/>
      <c r="N5" s="70"/>
      <c r="O5" s="70"/>
      <c r="P5" s="67"/>
      <c r="Q5" s="70"/>
      <c r="R5" s="70"/>
      <c r="S5" s="70"/>
      <c r="T5" s="67"/>
      <c r="U5" s="84"/>
    </row>
    <row r="6" spans="1:21" s="20" customFormat="1" ht="12" x14ac:dyDescent="0.25">
      <c r="A6" s="25"/>
      <c r="B6" s="25"/>
      <c r="C6" s="26"/>
      <c r="D6" s="24" t="s">
        <v>17</v>
      </c>
      <c r="E6" s="21"/>
      <c r="F6" s="21"/>
      <c r="G6" s="21"/>
      <c r="H6" s="67">
        <f>E6+F6+G6</f>
        <v>0</v>
      </c>
      <c r="I6" s="21"/>
      <c r="J6" s="21"/>
      <c r="K6" s="21"/>
      <c r="L6" s="67">
        <f>I6+J6+K6</f>
        <v>0</v>
      </c>
      <c r="M6" s="21"/>
      <c r="N6" s="21"/>
      <c r="O6" s="21"/>
      <c r="P6" s="67">
        <f>M6+N6+O6</f>
        <v>0</v>
      </c>
      <c r="Q6" s="21"/>
      <c r="R6" s="21"/>
      <c r="S6" s="21"/>
      <c r="T6" s="67">
        <f>Q6+R6+S6</f>
        <v>0</v>
      </c>
      <c r="U6" s="84">
        <f>H6+L6+P6+T6</f>
        <v>0</v>
      </c>
    </row>
    <row r="7" spans="1:21" s="20" customFormat="1" ht="12" x14ac:dyDescent="0.25">
      <c r="A7" s="25"/>
      <c r="B7" s="25"/>
      <c r="C7" s="26"/>
      <c r="D7" s="24" t="s">
        <v>63</v>
      </c>
      <c r="E7" s="21"/>
      <c r="F7" s="21"/>
      <c r="G7" s="21"/>
      <c r="H7" s="67">
        <f t="shared" ref="H7:H8" si="0">E7+F7+G7</f>
        <v>0</v>
      </c>
      <c r="I7" s="21"/>
      <c r="J7" s="21"/>
      <c r="K7" s="21"/>
      <c r="L7" s="67">
        <f t="shared" ref="L7:L8" si="1">I7+J7+K7</f>
        <v>0</v>
      </c>
      <c r="M7" s="21"/>
      <c r="N7" s="21"/>
      <c r="O7" s="21"/>
      <c r="P7" s="67">
        <f t="shared" ref="P7:P8" si="2">M7+N7+O7</f>
        <v>0</v>
      </c>
      <c r="Q7" s="21"/>
      <c r="R7" s="21"/>
      <c r="S7" s="21"/>
      <c r="T7" s="67">
        <f t="shared" ref="T7:T8" si="3">Q7+R7+S7</f>
        <v>0</v>
      </c>
      <c r="U7" s="84">
        <f t="shared" ref="U7:U8" si="4">H7+L7+P7+T7</f>
        <v>0</v>
      </c>
    </row>
    <row r="8" spans="1:21" s="20" customFormat="1" ht="12" x14ac:dyDescent="0.25">
      <c r="A8" s="25"/>
      <c r="B8" s="25"/>
      <c r="C8" s="26"/>
      <c r="D8" s="24" t="s">
        <v>62</v>
      </c>
      <c r="E8" s="21"/>
      <c r="F8" s="21"/>
      <c r="G8" s="21"/>
      <c r="H8" s="67">
        <f t="shared" si="0"/>
        <v>0</v>
      </c>
      <c r="I8" s="21"/>
      <c r="J8" s="21"/>
      <c r="K8" s="21"/>
      <c r="L8" s="67">
        <f t="shared" si="1"/>
        <v>0</v>
      </c>
      <c r="M8" s="21"/>
      <c r="N8" s="21"/>
      <c r="O8" s="21"/>
      <c r="P8" s="67">
        <f t="shared" si="2"/>
        <v>0</v>
      </c>
      <c r="Q8" s="21"/>
      <c r="R8" s="21"/>
      <c r="S8" s="21"/>
      <c r="T8" s="67">
        <f t="shared" si="3"/>
        <v>0</v>
      </c>
      <c r="U8" s="84">
        <f t="shared" si="4"/>
        <v>0</v>
      </c>
    </row>
    <row r="9" spans="1:21" s="20" customFormat="1" ht="12" x14ac:dyDescent="0.25">
      <c r="A9" s="25"/>
      <c r="B9" s="25"/>
      <c r="C9" s="26"/>
      <c r="D9" s="24"/>
      <c r="E9" s="21"/>
      <c r="F9" s="21"/>
      <c r="G9" s="21"/>
      <c r="H9" s="67"/>
      <c r="I9" s="21"/>
      <c r="J9" s="21"/>
      <c r="K9" s="21"/>
      <c r="L9" s="67"/>
      <c r="M9" s="21"/>
      <c r="N9" s="21"/>
      <c r="O9" s="21"/>
      <c r="P9" s="67"/>
      <c r="Q9" s="21"/>
      <c r="R9" s="21"/>
      <c r="S9" s="21"/>
      <c r="T9" s="67"/>
      <c r="U9" s="84"/>
    </row>
    <row r="10" spans="1:21" s="20" customFormat="1" ht="12" x14ac:dyDescent="0.25">
      <c r="A10" s="68" t="s">
        <v>19</v>
      </c>
      <c r="B10" s="69"/>
      <c r="C10" s="69"/>
      <c r="D10" s="71"/>
      <c r="E10" s="71"/>
      <c r="F10" s="71"/>
      <c r="G10" s="71"/>
      <c r="H10" s="67"/>
      <c r="I10" s="71"/>
      <c r="J10" s="71"/>
      <c r="K10" s="71"/>
      <c r="L10" s="67"/>
      <c r="M10" s="71"/>
      <c r="N10" s="71"/>
      <c r="O10" s="71"/>
      <c r="P10" s="67"/>
      <c r="Q10" s="71"/>
      <c r="R10" s="71"/>
      <c r="S10" s="71"/>
      <c r="T10" s="67"/>
      <c r="U10" s="84"/>
    </row>
    <row r="11" spans="1:21" s="20" customFormat="1" ht="11.4" x14ac:dyDescent="0.2">
      <c r="A11" s="24"/>
      <c r="B11" s="24"/>
      <c r="C11" s="24"/>
      <c r="D11" s="20" t="s">
        <v>56</v>
      </c>
      <c r="E11" s="21"/>
      <c r="F11" s="21"/>
      <c r="G11" s="21"/>
      <c r="H11" s="67">
        <f t="shared" ref="H11:H16" si="5">E11+F11+G11</f>
        <v>0</v>
      </c>
      <c r="I11" s="21"/>
      <c r="J11" s="21"/>
      <c r="K11" s="21"/>
      <c r="L11" s="67">
        <f t="shared" ref="L11:L16" si="6">I11+J11+K11</f>
        <v>0</v>
      </c>
      <c r="M11" s="21"/>
      <c r="N11" s="21"/>
      <c r="O11" s="21"/>
      <c r="P11" s="67">
        <f t="shared" ref="P11:P16" si="7">M11+N11+O11</f>
        <v>0</v>
      </c>
      <c r="Q11" s="21"/>
      <c r="R11" s="21"/>
      <c r="S11" s="21"/>
      <c r="T11" s="67">
        <f t="shared" ref="T11:T16" si="8">Q11+R11+S11</f>
        <v>0</v>
      </c>
      <c r="U11" s="84">
        <f t="shared" ref="U11:U16" si="9">H11+L11+P11+T11</f>
        <v>0</v>
      </c>
    </row>
    <row r="12" spans="1:21" s="20" customFormat="1" ht="11.4" x14ac:dyDescent="0.2">
      <c r="A12" s="24"/>
      <c r="B12" s="24"/>
      <c r="C12" s="24"/>
      <c r="D12" s="24" t="s">
        <v>57</v>
      </c>
      <c r="E12" s="21"/>
      <c r="F12" s="21"/>
      <c r="G12" s="21"/>
      <c r="H12" s="67">
        <f t="shared" si="5"/>
        <v>0</v>
      </c>
      <c r="I12" s="21"/>
      <c r="J12" s="21"/>
      <c r="K12" s="21"/>
      <c r="L12" s="67">
        <f t="shared" si="6"/>
        <v>0</v>
      </c>
      <c r="M12" s="21"/>
      <c r="N12" s="21"/>
      <c r="O12" s="21"/>
      <c r="P12" s="67">
        <f t="shared" si="7"/>
        <v>0</v>
      </c>
      <c r="Q12" s="21"/>
      <c r="R12" s="21"/>
      <c r="S12" s="21"/>
      <c r="T12" s="67">
        <f t="shared" si="8"/>
        <v>0</v>
      </c>
      <c r="U12" s="84">
        <f t="shared" si="9"/>
        <v>0</v>
      </c>
    </row>
    <row r="13" spans="1:21" s="20" customFormat="1" ht="11.4" x14ac:dyDescent="0.2">
      <c r="A13" s="24"/>
      <c r="B13" s="24"/>
      <c r="C13" s="24"/>
      <c r="D13" s="24" t="s">
        <v>58</v>
      </c>
      <c r="E13" s="21"/>
      <c r="F13" s="21"/>
      <c r="G13" s="21"/>
      <c r="H13" s="67">
        <f t="shared" si="5"/>
        <v>0</v>
      </c>
      <c r="I13" s="21"/>
      <c r="J13" s="21"/>
      <c r="K13" s="21"/>
      <c r="L13" s="67">
        <f t="shared" si="6"/>
        <v>0</v>
      </c>
      <c r="M13" s="21"/>
      <c r="N13" s="21"/>
      <c r="O13" s="21"/>
      <c r="P13" s="67">
        <f t="shared" si="7"/>
        <v>0</v>
      </c>
      <c r="Q13" s="21"/>
      <c r="R13" s="21"/>
      <c r="S13" s="21"/>
      <c r="T13" s="67">
        <f t="shared" si="8"/>
        <v>0</v>
      </c>
      <c r="U13" s="84">
        <f t="shared" si="9"/>
        <v>0</v>
      </c>
    </row>
    <row r="14" spans="1:21" s="20" customFormat="1" ht="11.4" x14ac:dyDescent="0.2">
      <c r="A14" s="24"/>
      <c r="B14" s="24"/>
      <c r="C14" s="24"/>
      <c r="D14" s="24" t="s">
        <v>18</v>
      </c>
      <c r="E14" s="21"/>
      <c r="F14" s="21"/>
      <c r="G14" s="21"/>
      <c r="H14" s="67">
        <f t="shared" si="5"/>
        <v>0</v>
      </c>
      <c r="I14" s="21"/>
      <c r="J14" s="21"/>
      <c r="K14" s="21"/>
      <c r="L14" s="67">
        <f t="shared" si="6"/>
        <v>0</v>
      </c>
      <c r="M14" s="21"/>
      <c r="N14" s="21"/>
      <c r="O14" s="21"/>
      <c r="P14" s="67">
        <f t="shared" si="7"/>
        <v>0</v>
      </c>
      <c r="Q14" s="21"/>
      <c r="R14" s="21"/>
      <c r="S14" s="21"/>
      <c r="T14" s="67">
        <f t="shared" si="8"/>
        <v>0</v>
      </c>
      <c r="U14" s="84">
        <f t="shared" si="9"/>
        <v>0</v>
      </c>
    </row>
    <row r="15" spans="1:21" s="20" customFormat="1" ht="11.4" x14ac:dyDescent="0.2">
      <c r="A15" s="24"/>
      <c r="B15" s="24"/>
      <c r="C15" s="24"/>
      <c r="D15" s="24" t="s">
        <v>26</v>
      </c>
      <c r="E15" s="21"/>
      <c r="F15" s="21"/>
      <c r="G15" s="21"/>
      <c r="H15" s="67">
        <f t="shared" si="5"/>
        <v>0</v>
      </c>
      <c r="I15" s="21"/>
      <c r="J15" s="21"/>
      <c r="K15" s="21"/>
      <c r="L15" s="67">
        <f t="shared" si="6"/>
        <v>0</v>
      </c>
      <c r="M15" s="21"/>
      <c r="N15" s="21"/>
      <c r="O15" s="21"/>
      <c r="P15" s="67">
        <f t="shared" si="7"/>
        <v>0</v>
      </c>
      <c r="Q15" s="21"/>
      <c r="R15" s="21"/>
      <c r="S15" s="21"/>
      <c r="T15" s="67">
        <f t="shared" si="8"/>
        <v>0</v>
      </c>
      <c r="U15" s="84">
        <f t="shared" si="9"/>
        <v>0</v>
      </c>
    </row>
    <row r="16" spans="1:21" s="20" customFormat="1" ht="11.4" x14ac:dyDescent="0.2">
      <c r="A16" s="24"/>
      <c r="B16" s="24"/>
      <c r="C16" s="24"/>
      <c r="D16" s="24" t="s">
        <v>34</v>
      </c>
      <c r="E16" s="21"/>
      <c r="F16" s="21"/>
      <c r="G16" s="21"/>
      <c r="H16" s="67">
        <f t="shared" si="5"/>
        <v>0</v>
      </c>
      <c r="I16" s="21"/>
      <c r="J16" s="21"/>
      <c r="K16" s="21"/>
      <c r="L16" s="67">
        <f t="shared" si="6"/>
        <v>0</v>
      </c>
      <c r="M16" s="21"/>
      <c r="N16" s="21"/>
      <c r="O16" s="21"/>
      <c r="P16" s="67">
        <f t="shared" si="7"/>
        <v>0</v>
      </c>
      <c r="Q16" s="21"/>
      <c r="R16" s="21"/>
      <c r="S16" s="21"/>
      <c r="T16" s="67">
        <f t="shared" si="8"/>
        <v>0</v>
      </c>
      <c r="U16" s="84">
        <f t="shared" si="9"/>
        <v>0</v>
      </c>
    </row>
    <row r="17" spans="1:21" s="20" customFormat="1" ht="11.4" x14ac:dyDescent="0.2">
      <c r="A17" s="24"/>
      <c r="B17" s="24"/>
      <c r="C17" s="24"/>
      <c r="D17" s="24"/>
      <c r="E17" s="21"/>
      <c r="F17" s="21"/>
      <c r="G17" s="21"/>
      <c r="H17" s="67"/>
      <c r="I17" s="21"/>
      <c r="J17" s="21"/>
      <c r="K17" s="21"/>
      <c r="L17" s="67"/>
      <c r="M17" s="21"/>
      <c r="N17" s="21"/>
      <c r="O17" s="21"/>
      <c r="P17" s="67"/>
      <c r="Q17" s="21"/>
      <c r="R17" s="21"/>
      <c r="S17" s="21"/>
      <c r="T17" s="67"/>
      <c r="U17" s="84"/>
    </row>
    <row r="18" spans="1:21" s="20" customFormat="1" ht="12" x14ac:dyDescent="0.25">
      <c r="A18" s="68" t="s">
        <v>69</v>
      </c>
      <c r="B18" s="69"/>
      <c r="C18" s="69"/>
      <c r="D18" s="69"/>
      <c r="E18" s="70"/>
      <c r="F18" s="70"/>
      <c r="G18" s="70"/>
      <c r="H18" s="67"/>
      <c r="I18" s="70"/>
      <c r="J18" s="70"/>
      <c r="K18" s="70"/>
      <c r="L18" s="67"/>
      <c r="M18" s="70"/>
      <c r="N18" s="70"/>
      <c r="O18" s="70"/>
      <c r="P18" s="67"/>
      <c r="Q18" s="70"/>
      <c r="R18" s="70"/>
      <c r="S18" s="70"/>
      <c r="T18" s="67"/>
      <c r="U18" s="84"/>
    </row>
    <row r="19" spans="1:21" s="20" customFormat="1" ht="11.4" x14ac:dyDescent="0.2">
      <c r="A19" s="29"/>
      <c r="B19" s="29"/>
      <c r="C19" s="30"/>
      <c r="D19" s="29" t="s">
        <v>27</v>
      </c>
      <c r="E19" s="31">
        <v>100</v>
      </c>
      <c r="F19" s="31">
        <v>10</v>
      </c>
      <c r="G19" s="31">
        <v>10</v>
      </c>
      <c r="H19" s="67">
        <f t="shared" ref="H19:H22" si="10">E19+F19+G19</f>
        <v>120</v>
      </c>
      <c r="I19" s="31">
        <v>10</v>
      </c>
      <c r="J19" s="31">
        <v>10</v>
      </c>
      <c r="K19" s="31">
        <v>10</v>
      </c>
      <c r="L19" s="67">
        <f t="shared" ref="L19:L22" si="11">I19+J19+K19</f>
        <v>30</v>
      </c>
      <c r="M19" s="29">
        <v>10</v>
      </c>
      <c r="N19" s="29">
        <v>10</v>
      </c>
      <c r="O19" s="29">
        <v>10</v>
      </c>
      <c r="P19" s="67">
        <f t="shared" ref="P19:P22" si="12">M19+N19+O19</f>
        <v>30</v>
      </c>
      <c r="Q19" s="29">
        <v>10</v>
      </c>
      <c r="R19" s="29">
        <v>10</v>
      </c>
      <c r="S19" s="29">
        <v>10</v>
      </c>
      <c r="T19" s="67">
        <f t="shared" ref="T19:T22" si="13">Q19+R19+S19</f>
        <v>30</v>
      </c>
      <c r="U19" s="84">
        <f t="shared" ref="U19:U22" si="14">H19+L19+P19+T19</f>
        <v>210</v>
      </c>
    </row>
    <row r="20" spans="1:21" s="20" customFormat="1" ht="11.4" x14ac:dyDescent="0.2">
      <c r="A20" s="29"/>
      <c r="B20" s="29"/>
      <c r="C20" s="30"/>
      <c r="D20" s="58" t="s">
        <v>70</v>
      </c>
      <c r="E20" s="31"/>
      <c r="F20" s="31"/>
      <c r="G20" s="31"/>
      <c r="H20" s="67">
        <f t="shared" si="10"/>
        <v>0</v>
      </c>
      <c r="I20" s="31"/>
      <c r="J20" s="31"/>
      <c r="K20" s="31"/>
      <c r="L20" s="67">
        <f t="shared" si="11"/>
        <v>0</v>
      </c>
      <c r="M20" s="29"/>
      <c r="N20" s="29"/>
      <c r="O20" s="29"/>
      <c r="P20" s="67">
        <f t="shared" si="12"/>
        <v>0</v>
      </c>
      <c r="Q20" s="29"/>
      <c r="R20" s="29"/>
      <c r="S20" s="29"/>
      <c r="T20" s="67">
        <f t="shared" si="13"/>
        <v>0</v>
      </c>
      <c r="U20" s="84">
        <f t="shared" si="14"/>
        <v>0</v>
      </c>
    </row>
    <row r="21" spans="1:21" s="20" customFormat="1" ht="11.4" x14ac:dyDescent="0.2">
      <c r="A21" s="29"/>
      <c r="B21" s="29"/>
      <c r="C21" s="30"/>
      <c r="D21" s="58" t="s">
        <v>71</v>
      </c>
      <c r="E21" s="31"/>
      <c r="F21" s="31"/>
      <c r="G21" s="31"/>
      <c r="H21" s="67">
        <f t="shared" si="10"/>
        <v>0</v>
      </c>
      <c r="I21" s="31"/>
      <c r="J21" s="31"/>
      <c r="K21" s="31"/>
      <c r="L21" s="67">
        <f t="shared" si="11"/>
        <v>0</v>
      </c>
      <c r="M21" s="29"/>
      <c r="N21" s="29"/>
      <c r="O21" s="29"/>
      <c r="P21" s="67">
        <f t="shared" si="12"/>
        <v>0</v>
      </c>
      <c r="Q21" s="29"/>
      <c r="R21" s="29"/>
      <c r="S21" s="29"/>
      <c r="T21" s="67">
        <f t="shared" si="13"/>
        <v>0</v>
      </c>
      <c r="U21" s="84">
        <f t="shared" si="14"/>
        <v>0</v>
      </c>
    </row>
    <row r="22" spans="1:21" s="20" customFormat="1" ht="11.4" x14ac:dyDescent="0.2">
      <c r="A22" s="29"/>
      <c r="B22" s="29"/>
      <c r="C22" s="30"/>
      <c r="D22" s="58" t="s">
        <v>72</v>
      </c>
      <c r="E22" s="31">
        <v>40</v>
      </c>
      <c r="F22" s="31">
        <v>40</v>
      </c>
      <c r="G22" s="31">
        <v>40</v>
      </c>
      <c r="H22" s="67">
        <f t="shared" si="10"/>
        <v>120</v>
      </c>
      <c r="I22" s="31">
        <v>40</v>
      </c>
      <c r="J22" s="31">
        <v>40</v>
      </c>
      <c r="K22" s="31">
        <v>40</v>
      </c>
      <c r="L22" s="67">
        <f t="shared" si="11"/>
        <v>120</v>
      </c>
      <c r="M22" s="31">
        <v>40</v>
      </c>
      <c r="N22" s="31">
        <v>40</v>
      </c>
      <c r="O22" s="31">
        <v>40</v>
      </c>
      <c r="P22" s="67">
        <f t="shared" si="12"/>
        <v>120</v>
      </c>
      <c r="Q22" s="31">
        <v>40</v>
      </c>
      <c r="R22" s="31">
        <v>40</v>
      </c>
      <c r="S22" s="31">
        <v>40</v>
      </c>
      <c r="T22" s="67">
        <f t="shared" si="13"/>
        <v>120</v>
      </c>
      <c r="U22" s="84">
        <f t="shared" si="14"/>
        <v>480</v>
      </c>
    </row>
    <row r="23" spans="1:21" s="20" customFormat="1" ht="11.4" x14ac:dyDescent="0.2">
      <c r="A23" s="24"/>
      <c r="B23" s="24"/>
      <c r="C23" s="24"/>
      <c r="D23" s="24"/>
      <c r="E23" s="21"/>
      <c r="F23" s="21"/>
      <c r="G23" s="21"/>
      <c r="H23" s="67"/>
      <c r="I23" s="21"/>
      <c r="J23" s="21"/>
      <c r="K23" s="21"/>
      <c r="L23" s="67"/>
      <c r="M23" s="21"/>
      <c r="N23" s="21"/>
      <c r="O23" s="21"/>
      <c r="P23" s="67"/>
      <c r="Q23" s="21"/>
      <c r="R23" s="21"/>
      <c r="S23" s="21"/>
      <c r="T23" s="67"/>
      <c r="U23" s="84"/>
    </row>
    <row r="24" spans="1:21" s="20" customFormat="1" ht="12" x14ac:dyDescent="0.25">
      <c r="A24" s="68" t="s">
        <v>28</v>
      </c>
      <c r="B24" s="69"/>
      <c r="C24" s="69"/>
      <c r="D24" s="69"/>
      <c r="E24" s="70"/>
      <c r="F24" s="70"/>
      <c r="G24" s="70"/>
      <c r="H24" s="67"/>
      <c r="I24" s="70"/>
      <c r="J24" s="70"/>
      <c r="K24" s="70"/>
      <c r="L24" s="67"/>
      <c r="M24" s="70"/>
      <c r="N24" s="70"/>
      <c r="O24" s="70"/>
      <c r="P24" s="67"/>
      <c r="Q24" s="70"/>
      <c r="R24" s="70"/>
      <c r="S24" s="70"/>
      <c r="T24" s="67"/>
      <c r="U24" s="84"/>
    </row>
    <row r="25" spans="1:21" s="20" customFormat="1" ht="11.4" x14ac:dyDescent="0.2">
      <c r="A25" s="24"/>
      <c r="B25" s="24"/>
      <c r="C25" s="24"/>
      <c r="D25" s="24" t="s">
        <v>55</v>
      </c>
      <c r="E25" s="21"/>
      <c r="F25" s="21"/>
      <c r="G25" s="21"/>
      <c r="H25" s="67">
        <f t="shared" ref="H25:H29" si="15">E25+F25+G25</f>
        <v>0</v>
      </c>
      <c r="I25" s="21"/>
      <c r="J25" s="21"/>
      <c r="K25" s="21"/>
      <c r="L25" s="67">
        <f t="shared" ref="L25:L29" si="16">I25+J25+K25</f>
        <v>0</v>
      </c>
      <c r="M25" s="21"/>
      <c r="N25" s="21"/>
      <c r="O25" s="21"/>
      <c r="P25" s="67">
        <f t="shared" ref="P25:P29" si="17">M25+N25+O25</f>
        <v>0</v>
      </c>
      <c r="Q25" s="21"/>
      <c r="R25" s="21"/>
      <c r="S25" s="21"/>
      <c r="T25" s="67">
        <f t="shared" ref="T25:T29" si="18">Q25+R25+S25</f>
        <v>0</v>
      </c>
      <c r="U25" s="84">
        <f t="shared" ref="U25:U29" si="19">H25+L25+P25+T25</f>
        <v>0</v>
      </c>
    </row>
    <row r="26" spans="1:21" s="20" customFormat="1" ht="11.4" x14ac:dyDescent="0.2">
      <c r="A26" s="24"/>
      <c r="B26" s="24"/>
      <c r="C26" s="24"/>
      <c r="D26" s="23" t="s">
        <v>73</v>
      </c>
      <c r="E26" s="21"/>
      <c r="F26" s="21"/>
      <c r="G26" s="21"/>
      <c r="H26" s="67">
        <f t="shared" si="15"/>
        <v>0</v>
      </c>
      <c r="I26" s="21"/>
      <c r="J26" s="21"/>
      <c r="K26" s="21"/>
      <c r="L26" s="67">
        <f t="shared" si="16"/>
        <v>0</v>
      </c>
      <c r="M26" s="21"/>
      <c r="N26" s="21"/>
      <c r="O26" s="21"/>
      <c r="P26" s="67">
        <f t="shared" si="17"/>
        <v>0</v>
      </c>
      <c r="Q26" s="21"/>
      <c r="R26" s="21"/>
      <c r="S26" s="21"/>
      <c r="T26" s="67">
        <f t="shared" si="18"/>
        <v>0</v>
      </c>
      <c r="U26" s="84">
        <f t="shared" si="19"/>
        <v>0</v>
      </c>
    </row>
    <row r="27" spans="1:21" s="20" customFormat="1" ht="11.4" x14ac:dyDescent="0.2">
      <c r="A27" s="24"/>
      <c r="B27" s="24"/>
      <c r="C27" s="24"/>
      <c r="D27" s="24" t="s">
        <v>29</v>
      </c>
      <c r="E27" s="21"/>
      <c r="F27" s="21"/>
      <c r="G27" s="21"/>
      <c r="H27" s="67">
        <f t="shared" si="15"/>
        <v>0</v>
      </c>
      <c r="I27" s="21"/>
      <c r="J27" s="21"/>
      <c r="K27" s="21"/>
      <c r="L27" s="67">
        <f t="shared" si="16"/>
        <v>0</v>
      </c>
      <c r="M27" s="21"/>
      <c r="N27" s="21"/>
      <c r="O27" s="21"/>
      <c r="P27" s="67">
        <f t="shared" si="17"/>
        <v>0</v>
      </c>
      <c r="Q27" s="21"/>
      <c r="R27" s="21"/>
      <c r="S27" s="21"/>
      <c r="T27" s="67">
        <f t="shared" si="18"/>
        <v>0</v>
      </c>
      <c r="U27" s="84">
        <f t="shared" si="19"/>
        <v>0</v>
      </c>
    </row>
    <row r="28" spans="1:21" s="20" customFormat="1" ht="11.4" x14ac:dyDescent="0.2">
      <c r="A28" s="24"/>
      <c r="B28" s="24"/>
      <c r="C28" s="24"/>
      <c r="D28" s="23" t="s">
        <v>53</v>
      </c>
      <c r="E28" s="21"/>
      <c r="F28" s="21"/>
      <c r="G28" s="21"/>
      <c r="H28" s="67">
        <f t="shared" si="15"/>
        <v>0</v>
      </c>
      <c r="I28" s="21"/>
      <c r="J28" s="21"/>
      <c r="K28" s="21"/>
      <c r="L28" s="67">
        <f t="shared" si="16"/>
        <v>0</v>
      </c>
      <c r="M28" s="21"/>
      <c r="N28" s="21"/>
      <c r="O28" s="21"/>
      <c r="P28" s="67">
        <f t="shared" si="17"/>
        <v>0</v>
      </c>
      <c r="Q28" s="21"/>
      <c r="R28" s="21"/>
      <c r="S28" s="21"/>
      <c r="T28" s="67">
        <f t="shared" si="18"/>
        <v>0</v>
      </c>
      <c r="U28" s="84">
        <f t="shared" si="19"/>
        <v>0</v>
      </c>
    </row>
    <row r="29" spans="1:21" s="20" customFormat="1" ht="11.4" x14ac:dyDescent="0.2">
      <c r="A29" s="24"/>
      <c r="B29" s="24"/>
      <c r="C29" s="24"/>
      <c r="D29" s="24" t="s">
        <v>31</v>
      </c>
      <c r="E29" s="21"/>
      <c r="F29" s="21"/>
      <c r="G29" s="21"/>
      <c r="H29" s="67">
        <f t="shared" si="15"/>
        <v>0</v>
      </c>
      <c r="I29" s="21"/>
      <c r="J29" s="21"/>
      <c r="K29" s="21"/>
      <c r="L29" s="67">
        <f t="shared" si="16"/>
        <v>0</v>
      </c>
      <c r="M29" s="21"/>
      <c r="N29" s="21"/>
      <c r="O29" s="21"/>
      <c r="P29" s="67">
        <f t="shared" si="17"/>
        <v>0</v>
      </c>
      <c r="Q29" s="21"/>
      <c r="R29" s="21"/>
      <c r="S29" s="21"/>
      <c r="T29" s="67">
        <f t="shared" si="18"/>
        <v>0</v>
      </c>
      <c r="U29" s="84">
        <f t="shared" si="19"/>
        <v>0</v>
      </c>
    </row>
    <row r="30" spans="1:21" s="20" customFormat="1" ht="11.4" x14ac:dyDescent="0.2">
      <c r="A30" s="24"/>
      <c r="B30" s="24"/>
      <c r="C30" s="24"/>
      <c r="D30" s="24"/>
      <c r="E30" s="21"/>
      <c r="F30" s="21"/>
      <c r="G30" s="21"/>
      <c r="H30" s="67"/>
      <c r="I30" s="21"/>
      <c r="J30" s="21"/>
      <c r="K30" s="21"/>
      <c r="L30" s="67"/>
      <c r="M30" s="21"/>
      <c r="N30" s="21"/>
      <c r="O30" s="21"/>
      <c r="P30" s="67"/>
      <c r="Q30" s="21"/>
      <c r="R30" s="21"/>
      <c r="S30" s="21"/>
      <c r="T30" s="67"/>
      <c r="U30" s="84"/>
    </row>
    <row r="31" spans="1:21" s="20" customFormat="1" ht="12" x14ac:dyDescent="0.25">
      <c r="A31" s="68" t="s">
        <v>67</v>
      </c>
      <c r="B31" s="69"/>
      <c r="C31" s="69"/>
      <c r="D31" s="69"/>
      <c r="E31" s="70"/>
      <c r="F31" s="70"/>
      <c r="G31" s="70"/>
      <c r="H31" s="67"/>
      <c r="I31" s="70"/>
      <c r="J31" s="70"/>
      <c r="K31" s="70"/>
      <c r="L31" s="67"/>
      <c r="M31" s="70"/>
      <c r="N31" s="70"/>
      <c r="O31" s="70"/>
      <c r="P31" s="67"/>
      <c r="Q31" s="70"/>
      <c r="R31" s="70"/>
      <c r="S31" s="70"/>
      <c r="T31" s="67"/>
      <c r="U31" s="84"/>
    </row>
    <row r="32" spans="1:21" s="20" customFormat="1" ht="11.4" x14ac:dyDescent="0.2">
      <c r="A32" s="27"/>
      <c r="B32" s="27"/>
      <c r="C32" s="28"/>
      <c r="D32" s="23" t="s">
        <v>68</v>
      </c>
      <c r="E32" s="21"/>
      <c r="F32" s="21"/>
      <c r="G32" s="21"/>
      <c r="H32" s="67">
        <f t="shared" ref="H32:H33" si="20">E32+F32+G32</f>
        <v>0</v>
      </c>
      <c r="I32" s="21"/>
      <c r="J32" s="21"/>
      <c r="K32" s="21"/>
      <c r="L32" s="67">
        <f t="shared" ref="L32:L33" si="21">I32+J32+K32</f>
        <v>0</v>
      </c>
      <c r="M32" s="21"/>
      <c r="N32" s="21"/>
      <c r="O32" s="21"/>
      <c r="P32" s="67">
        <f t="shared" ref="P32:P33" si="22">M32+N32+O32</f>
        <v>0</v>
      </c>
      <c r="Q32" s="21"/>
      <c r="R32" s="21"/>
      <c r="S32" s="21"/>
      <c r="T32" s="67">
        <f t="shared" ref="T32:T33" si="23">Q32+R32+S32</f>
        <v>0</v>
      </c>
      <c r="U32" s="84">
        <f t="shared" ref="U32:U33" si="24">H32+L32+P32+T32</f>
        <v>0</v>
      </c>
    </row>
    <row r="33" spans="1:21" s="20" customFormat="1" ht="11.4" x14ac:dyDescent="0.2">
      <c r="A33" s="27"/>
      <c r="B33" s="27"/>
      <c r="C33" s="28"/>
      <c r="D33" s="24" t="s">
        <v>43</v>
      </c>
      <c r="E33" s="21"/>
      <c r="F33" s="21"/>
      <c r="G33" s="21"/>
      <c r="H33" s="67">
        <f t="shared" si="20"/>
        <v>0</v>
      </c>
      <c r="I33" s="21"/>
      <c r="J33" s="21"/>
      <c r="K33" s="21"/>
      <c r="L33" s="67">
        <f t="shared" si="21"/>
        <v>0</v>
      </c>
      <c r="M33" s="21"/>
      <c r="N33" s="21"/>
      <c r="O33" s="21"/>
      <c r="P33" s="67">
        <f t="shared" si="22"/>
        <v>0</v>
      </c>
      <c r="Q33" s="21"/>
      <c r="R33" s="21"/>
      <c r="S33" s="21"/>
      <c r="T33" s="67">
        <f t="shared" si="23"/>
        <v>0</v>
      </c>
      <c r="U33" s="84">
        <f t="shared" si="24"/>
        <v>0</v>
      </c>
    </row>
    <row r="34" spans="1:21" s="20" customFormat="1" ht="11.4" x14ac:dyDescent="0.2">
      <c r="A34" s="27"/>
      <c r="B34" s="27"/>
      <c r="C34" s="28"/>
      <c r="D34" s="24"/>
      <c r="E34" s="21"/>
      <c r="F34" s="21"/>
      <c r="G34" s="21"/>
      <c r="H34" s="67"/>
      <c r="I34" s="21"/>
      <c r="J34" s="21"/>
      <c r="K34" s="21"/>
      <c r="L34" s="67"/>
      <c r="M34" s="21"/>
      <c r="N34" s="21"/>
      <c r="O34" s="21"/>
      <c r="P34" s="67"/>
      <c r="Q34" s="21"/>
      <c r="R34" s="21"/>
      <c r="S34" s="21"/>
      <c r="T34" s="67"/>
      <c r="U34" s="84"/>
    </row>
    <row r="35" spans="1:21" s="20" customFormat="1" ht="12" x14ac:dyDescent="0.25">
      <c r="A35" s="76" t="s">
        <v>30</v>
      </c>
      <c r="B35" s="76"/>
      <c r="C35" s="77"/>
      <c r="D35" s="76"/>
      <c r="E35" s="78"/>
      <c r="F35" s="78"/>
      <c r="G35" s="78"/>
      <c r="H35" s="93"/>
      <c r="I35" s="78"/>
      <c r="J35" s="78"/>
      <c r="K35" s="78"/>
      <c r="L35" s="67"/>
      <c r="M35" s="78"/>
      <c r="N35" s="78"/>
      <c r="O35" s="78"/>
      <c r="P35" s="67"/>
      <c r="Q35" s="78"/>
      <c r="R35" s="78"/>
      <c r="S35" s="78"/>
      <c r="T35" s="67"/>
      <c r="U35" s="84"/>
    </row>
    <row r="36" spans="1:21" s="20" customFormat="1" ht="15" customHeight="1" x14ac:dyDescent="0.25">
      <c r="A36" s="86" t="s">
        <v>15</v>
      </c>
      <c r="B36" s="87"/>
      <c r="C36" s="88"/>
      <c r="D36" s="71"/>
      <c r="E36" s="70"/>
      <c r="F36" s="70"/>
      <c r="G36" s="70"/>
      <c r="H36" s="67"/>
      <c r="I36" s="70"/>
      <c r="J36" s="70"/>
      <c r="K36" s="70"/>
      <c r="L36" s="67"/>
      <c r="M36" s="70"/>
      <c r="N36" s="70"/>
      <c r="O36" s="70"/>
      <c r="P36" s="67"/>
      <c r="Q36" s="70"/>
      <c r="R36" s="70"/>
      <c r="S36" s="70"/>
      <c r="T36" s="67"/>
      <c r="U36" s="84"/>
    </row>
    <row r="37" spans="1:21" s="20" customFormat="1" ht="15" customHeight="1" x14ac:dyDescent="0.25">
      <c r="A37" s="14"/>
      <c r="B37" s="14"/>
      <c r="C37" s="15"/>
      <c r="D37" s="20" t="s">
        <v>59</v>
      </c>
      <c r="E37" s="21"/>
      <c r="F37" s="21"/>
      <c r="G37" s="21"/>
      <c r="H37" s="67">
        <f t="shared" ref="H37:H38" si="25">E37+F37+G37</f>
        <v>0</v>
      </c>
      <c r="I37" s="21"/>
      <c r="J37" s="21"/>
      <c r="K37" s="21"/>
      <c r="L37" s="67">
        <f t="shared" ref="L37:L38" si="26">I37+J37+K37</f>
        <v>0</v>
      </c>
      <c r="M37" s="22"/>
      <c r="N37" s="22"/>
      <c r="O37" s="22"/>
      <c r="P37" s="67">
        <f t="shared" ref="P37:P38" si="27">M37+N37+O37</f>
        <v>0</v>
      </c>
      <c r="Q37" s="22"/>
      <c r="R37" s="22"/>
      <c r="S37" s="22"/>
      <c r="T37" s="67">
        <f t="shared" ref="T37:T38" si="28">Q37+R37+S37</f>
        <v>0</v>
      </c>
      <c r="U37" s="84">
        <f t="shared" ref="U37:U38" si="29">H37+L37+P37+T37</f>
        <v>0</v>
      </c>
    </row>
    <row r="38" spans="1:21" s="20" customFormat="1" ht="15" customHeight="1" x14ac:dyDescent="0.25">
      <c r="A38" s="14"/>
      <c r="B38" s="14"/>
      <c r="C38" s="15"/>
      <c r="D38" s="20" t="s">
        <v>60</v>
      </c>
      <c r="E38" s="21"/>
      <c r="F38" s="21"/>
      <c r="G38" s="21"/>
      <c r="H38" s="67">
        <f t="shared" si="25"/>
        <v>0</v>
      </c>
      <c r="I38" s="21"/>
      <c r="J38" s="21"/>
      <c r="K38" s="21"/>
      <c r="L38" s="67">
        <f t="shared" si="26"/>
        <v>0</v>
      </c>
      <c r="M38" s="22"/>
      <c r="N38" s="22"/>
      <c r="O38" s="22"/>
      <c r="P38" s="67">
        <f t="shared" si="27"/>
        <v>0</v>
      </c>
      <c r="Q38" s="22"/>
      <c r="R38" s="22"/>
      <c r="S38" s="22"/>
      <c r="T38" s="67">
        <f t="shared" si="28"/>
        <v>0</v>
      </c>
      <c r="U38" s="84">
        <f t="shared" si="29"/>
        <v>0</v>
      </c>
    </row>
    <row r="39" spans="1:21" s="20" customFormat="1" ht="15" customHeight="1" x14ac:dyDescent="0.25">
      <c r="A39" s="86" t="s">
        <v>16</v>
      </c>
      <c r="B39" s="87"/>
      <c r="C39" s="88"/>
      <c r="D39" s="71"/>
      <c r="E39" s="70"/>
      <c r="F39" s="89"/>
      <c r="G39" s="70"/>
      <c r="H39" s="67"/>
      <c r="I39" s="70"/>
      <c r="J39" s="70"/>
      <c r="K39" s="70"/>
      <c r="L39" s="67"/>
      <c r="M39" s="70"/>
      <c r="N39" s="70"/>
      <c r="O39" s="70"/>
      <c r="P39" s="67"/>
      <c r="Q39" s="70"/>
      <c r="R39" s="70"/>
      <c r="S39" s="70"/>
      <c r="T39" s="67"/>
      <c r="U39" s="84"/>
    </row>
    <row r="40" spans="1:21" s="20" customFormat="1" ht="15" customHeight="1" x14ac:dyDescent="0.25">
      <c r="A40" s="14"/>
      <c r="B40" s="14"/>
      <c r="C40" s="15"/>
      <c r="D40" s="20" t="s">
        <v>41</v>
      </c>
      <c r="E40" s="21"/>
      <c r="F40" s="21"/>
      <c r="G40" s="21"/>
      <c r="H40" s="67">
        <f t="shared" ref="H40:H41" si="30">E40+F40+G40</f>
        <v>0</v>
      </c>
      <c r="I40" s="21"/>
      <c r="J40" s="21"/>
      <c r="K40" s="21"/>
      <c r="L40" s="67">
        <f t="shared" ref="L40:L41" si="31">I40+J40+K40</f>
        <v>0</v>
      </c>
      <c r="M40" s="22"/>
      <c r="N40" s="22"/>
      <c r="O40" s="22"/>
      <c r="P40" s="67">
        <f t="shared" ref="P40:P41" si="32">M40+N40+O40</f>
        <v>0</v>
      </c>
      <c r="Q40" s="22"/>
      <c r="R40" s="22"/>
      <c r="S40" s="22"/>
      <c r="T40" s="67">
        <f t="shared" ref="T40:T41" si="33">Q40+R40+S40</f>
        <v>0</v>
      </c>
      <c r="U40" s="84">
        <f t="shared" ref="U40:U41" si="34">H40+L40+P40+T40</f>
        <v>0</v>
      </c>
    </row>
    <row r="41" spans="1:21" s="20" customFormat="1" ht="15" customHeight="1" x14ac:dyDescent="0.25">
      <c r="A41" s="14"/>
      <c r="B41" s="14"/>
      <c r="C41" s="15"/>
      <c r="D41" s="20" t="s">
        <v>42</v>
      </c>
      <c r="E41" s="21"/>
      <c r="F41" s="21"/>
      <c r="G41" s="21"/>
      <c r="H41" s="67">
        <f t="shared" si="30"/>
        <v>0</v>
      </c>
      <c r="I41" s="21"/>
      <c r="J41" s="21"/>
      <c r="K41" s="21"/>
      <c r="L41" s="67">
        <f t="shared" si="31"/>
        <v>0</v>
      </c>
      <c r="M41" s="22"/>
      <c r="N41" s="22"/>
      <c r="O41" s="22"/>
      <c r="P41" s="67">
        <f t="shared" si="32"/>
        <v>0</v>
      </c>
      <c r="Q41" s="22"/>
      <c r="R41" s="22"/>
      <c r="S41" s="22"/>
      <c r="T41" s="67">
        <f t="shared" si="33"/>
        <v>0</v>
      </c>
      <c r="U41" s="84">
        <f t="shared" si="34"/>
        <v>0</v>
      </c>
    </row>
    <row r="42" spans="1:21" s="20" customFormat="1" ht="15" customHeight="1" x14ac:dyDescent="0.25">
      <c r="A42" s="79" t="s">
        <v>65</v>
      </c>
      <c r="B42" s="79"/>
      <c r="C42" s="80"/>
      <c r="D42" s="81"/>
      <c r="E42" s="75"/>
      <c r="F42" s="75"/>
      <c r="G42" s="75"/>
      <c r="H42" s="67"/>
      <c r="I42" s="75"/>
      <c r="J42" s="75"/>
      <c r="K42" s="75"/>
      <c r="L42" s="67"/>
      <c r="M42" s="75"/>
      <c r="N42" s="75"/>
      <c r="O42" s="75"/>
      <c r="P42" s="67"/>
      <c r="Q42" s="75"/>
      <c r="R42" s="75"/>
      <c r="S42" s="75"/>
      <c r="T42" s="67"/>
      <c r="U42" s="84"/>
    </row>
    <row r="43" spans="1:21" s="20" customFormat="1" ht="12" x14ac:dyDescent="0.25">
      <c r="A43" s="90" t="s">
        <v>21</v>
      </c>
      <c r="B43" s="91"/>
      <c r="C43" s="91"/>
      <c r="D43" s="92"/>
      <c r="E43" s="70"/>
      <c r="F43" s="70"/>
      <c r="G43" s="70"/>
      <c r="H43" s="67"/>
      <c r="I43" s="70"/>
      <c r="J43" s="70"/>
      <c r="K43" s="70"/>
      <c r="L43" s="67"/>
      <c r="M43" s="70"/>
      <c r="N43" s="70"/>
      <c r="O43" s="70"/>
      <c r="P43" s="67"/>
      <c r="Q43" s="70"/>
      <c r="R43" s="70"/>
      <c r="S43" s="70"/>
      <c r="T43" s="67"/>
      <c r="U43" s="84"/>
    </row>
    <row r="44" spans="1:21" s="20" customFormat="1" ht="11.4" x14ac:dyDescent="0.2">
      <c r="A44" s="33" t="s">
        <v>44</v>
      </c>
      <c r="B44" s="34" t="s">
        <v>45</v>
      </c>
      <c r="C44" s="32" t="s">
        <v>46</v>
      </c>
      <c r="D44" s="24" t="s">
        <v>47</v>
      </c>
      <c r="E44" s="21"/>
      <c r="F44" s="21"/>
      <c r="G44" s="21"/>
      <c r="H44" s="67">
        <f t="shared" ref="H44:H46" si="35">E44+F44+G44</f>
        <v>0</v>
      </c>
      <c r="I44" s="21"/>
      <c r="J44" s="21"/>
      <c r="K44" s="21"/>
      <c r="L44" s="67">
        <f t="shared" ref="L44:L46" si="36">I44+J44+K44</f>
        <v>0</v>
      </c>
      <c r="M44" s="21"/>
      <c r="N44" s="21"/>
      <c r="O44" s="21"/>
      <c r="P44" s="67">
        <f t="shared" ref="P44:P46" si="37">M44+N44+O44</f>
        <v>0</v>
      </c>
      <c r="Q44" s="21"/>
      <c r="R44" s="21"/>
      <c r="S44" s="21"/>
      <c r="T44" s="67">
        <f t="shared" ref="T44:T46" si="38">Q44+R44+S44</f>
        <v>0</v>
      </c>
      <c r="U44" s="84">
        <f t="shared" ref="U44:U46" si="39">H44+L44+P44+T44</f>
        <v>0</v>
      </c>
    </row>
    <row r="45" spans="1:21" s="20" customFormat="1" ht="11.4" x14ac:dyDescent="0.2">
      <c r="A45" s="35"/>
      <c r="B45" s="36"/>
      <c r="C45" s="37"/>
      <c r="D45" s="24" t="s">
        <v>48</v>
      </c>
      <c r="E45" s="21"/>
      <c r="F45" s="21"/>
      <c r="G45" s="21"/>
      <c r="H45" s="67">
        <f t="shared" si="35"/>
        <v>0</v>
      </c>
      <c r="I45" s="21"/>
      <c r="J45" s="21"/>
      <c r="K45" s="21"/>
      <c r="L45" s="67">
        <f t="shared" si="36"/>
        <v>0</v>
      </c>
      <c r="M45" s="21"/>
      <c r="N45" s="21"/>
      <c r="O45" s="21"/>
      <c r="P45" s="67">
        <f t="shared" si="37"/>
        <v>0</v>
      </c>
      <c r="Q45" s="21"/>
      <c r="R45" s="21"/>
      <c r="S45" s="21"/>
      <c r="T45" s="67">
        <f t="shared" si="38"/>
        <v>0</v>
      </c>
      <c r="U45" s="84">
        <f t="shared" si="39"/>
        <v>0</v>
      </c>
    </row>
    <row r="46" spans="1:21" s="20" customFormat="1" ht="11.4" x14ac:dyDescent="0.2">
      <c r="A46" s="38"/>
      <c r="B46" s="36"/>
      <c r="C46" s="37"/>
      <c r="D46" s="24" t="s">
        <v>49</v>
      </c>
      <c r="E46" s="21"/>
      <c r="F46" s="21"/>
      <c r="G46" s="21"/>
      <c r="H46" s="67">
        <f t="shared" si="35"/>
        <v>0</v>
      </c>
      <c r="I46" s="21"/>
      <c r="J46" s="21"/>
      <c r="K46" s="21"/>
      <c r="L46" s="67">
        <f t="shared" si="36"/>
        <v>0</v>
      </c>
      <c r="M46" s="21"/>
      <c r="N46" s="21"/>
      <c r="O46" s="21"/>
      <c r="P46" s="67">
        <f t="shared" si="37"/>
        <v>0</v>
      </c>
      <c r="Q46" s="21"/>
      <c r="R46" s="21"/>
      <c r="S46" s="21"/>
      <c r="T46" s="67">
        <f t="shared" si="38"/>
        <v>0</v>
      </c>
      <c r="U46" s="84">
        <f t="shared" si="39"/>
        <v>0</v>
      </c>
    </row>
    <row r="47" spans="1:21" s="20" customFormat="1" ht="11.4" x14ac:dyDescent="0.2">
      <c r="B47" s="39" t="s">
        <v>22</v>
      </c>
      <c r="C47" s="40"/>
      <c r="D47" s="41"/>
      <c r="E47" s="21"/>
      <c r="F47" s="21"/>
      <c r="G47" s="21"/>
      <c r="H47" s="67"/>
      <c r="I47" s="21"/>
      <c r="K47" s="21"/>
      <c r="L47" s="67"/>
      <c r="M47" s="21"/>
      <c r="N47" s="21"/>
      <c r="O47" s="21"/>
      <c r="P47" s="67"/>
      <c r="Q47" s="21"/>
      <c r="R47" s="21"/>
      <c r="S47" s="21"/>
      <c r="T47" s="67"/>
      <c r="U47" s="84"/>
    </row>
    <row r="48" spans="1:21" s="20" customFormat="1" ht="11.4" x14ac:dyDescent="0.2">
      <c r="A48" s="42"/>
      <c r="B48" s="42"/>
      <c r="C48" s="42"/>
      <c r="D48" s="43" t="s">
        <v>23</v>
      </c>
      <c r="E48" s="21"/>
      <c r="F48" s="21"/>
      <c r="G48" s="21"/>
      <c r="H48" s="67">
        <f t="shared" ref="H48:H50" si="40">E48+F48+G48</f>
        <v>0</v>
      </c>
      <c r="I48" s="21"/>
      <c r="J48" s="21"/>
      <c r="K48" s="21"/>
      <c r="L48" s="67">
        <f t="shared" ref="L48:L50" si="41">I48+J48+K48</f>
        <v>0</v>
      </c>
      <c r="M48" s="21"/>
      <c r="N48" s="21"/>
      <c r="O48" s="21"/>
      <c r="P48" s="67">
        <f t="shared" ref="P48:P50" si="42">M48+N48+O48</f>
        <v>0</v>
      </c>
      <c r="Q48" s="21"/>
      <c r="R48" s="21"/>
      <c r="S48" s="21"/>
      <c r="T48" s="67">
        <f t="shared" ref="T48:T50" si="43">Q48+R48+S48</f>
        <v>0</v>
      </c>
      <c r="U48" s="84">
        <f t="shared" ref="U48:U50" si="44">H48+L48+P48+T48</f>
        <v>0</v>
      </c>
    </row>
    <row r="49" spans="1:21" s="20" customFormat="1" ht="11.4" x14ac:dyDescent="0.2">
      <c r="A49" s="42"/>
      <c r="B49" s="42"/>
      <c r="C49" s="42"/>
      <c r="D49" s="44" t="s">
        <v>24</v>
      </c>
      <c r="E49" s="21">
        <v>200</v>
      </c>
      <c r="F49" s="21"/>
      <c r="G49" s="21"/>
      <c r="H49" s="67">
        <f t="shared" si="40"/>
        <v>200</v>
      </c>
      <c r="I49" s="21"/>
      <c r="J49" s="21"/>
      <c r="K49" s="21"/>
      <c r="L49" s="67">
        <f t="shared" si="41"/>
        <v>0</v>
      </c>
      <c r="M49" s="21"/>
      <c r="N49" s="21"/>
      <c r="O49" s="21"/>
      <c r="P49" s="67">
        <f t="shared" si="42"/>
        <v>0</v>
      </c>
      <c r="Q49" s="21"/>
      <c r="R49" s="21"/>
      <c r="S49" s="21"/>
      <c r="T49" s="67">
        <f t="shared" si="43"/>
        <v>0</v>
      </c>
      <c r="U49" s="84">
        <f t="shared" si="44"/>
        <v>200</v>
      </c>
    </row>
    <row r="50" spans="1:21" s="20" customFormat="1" ht="11.4" x14ac:dyDescent="0.2">
      <c r="A50" s="42"/>
      <c r="B50" s="42"/>
      <c r="C50" s="42"/>
      <c r="D50" s="45" t="s">
        <v>25</v>
      </c>
      <c r="E50" s="46"/>
      <c r="F50" s="21"/>
      <c r="G50" s="21"/>
      <c r="H50" s="67">
        <f t="shared" si="40"/>
        <v>0</v>
      </c>
      <c r="I50" s="21"/>
      <c r="J50" s="21"/>
      <c r="K50" s="21"/>
      <c r="L50" s="67">
        <f t="shared" si="41"/>
        <v>0</v>
      </c>
      <c r="M50" s="21"/>
      <c r="N50" s="21"/>
      <c r="O50" s="21"/>
      <c r="P50" s="67">
        <f t="shared" si="42"/>
        <v>0</v>
      </c>
      <c r="Q50" s="21"/>
      <c r="R50" s="21"/>
      <c r="S50" s="21"/>
      <c r="T50" s="67">
        <f t="shared" si="43"/>
        <v>0</v>
      </c>
      <c r="U50" s="84">
        <f t="shared" si="44"/>
        <v>0</v>
      </c>
    </row>
    <row r="51" spans="1:21" s="20" customFormat="1" ht="12" x14ac:dyDescent="0.25">
      <c r="A51" s="68" t="s">
        <v>20</v>
      </c>
      <c r="B51" s="69"/>
      <c r="C51" s="69"/>
      <c r="D51" s="69"/>
      <c r="E51" s="70"/>
      <c r="F51" s="70"/>
      <c r="G51" s="70"/>
      <c r="H51" s="67"/>
      <c r="I51" s="70"/>
      <c r="J51" s="70"/>
      <c r="K51" s="70"/>
      <c r="L51" s="67"/>
      <c r="M51" s="70"/>
      <c r="N51" s="70"/>
      <c r="O51" s="70"/>
      <c r="P51" s="67"/>
      <c r="Q51" s="70"/>
      <c r="R51" s="70"/>
      <c r="S51" s="70"/>
      <c r="T51" s="67"/>
      <c r="U51" s="84"/>
    </row>
    <row r="52" spans="1:21" s="20" customFormat="1" ht="11.4" x14ac:dyDescent="0.2">
      <c r="A52" s="24"/>
      <c r="B52" s="24"/>
      <c r="C52" s="24"/>
      <c r="D52" s="24" t="s">
        <v>13</v>
      </c>
      <c r="E52" s="21">
        <v>150</v>
      </c>
      <c r="F52" s="21">
        <v>10</v>
      </c>
      <c r="G52" s="21">
        <v>10</v>
      </c>
      <c r="H52" s="67">
        <f t="shared" ref="H52:H56" si="45">E52+F52+G52</f>
        <v>170</v>
      </c>
      <c r="I52" s="21">
        <v>10</v>
      </c>
      <c r="J52" s="21">
        <v>10</v>
      </c>
      <c r="K52" s="21">
        <v>10</v>
      </c>
      <c r="L52" s="67">
        <f t="shared" ref="L52:L56" si="46">I52+J52+K52</f>
        <v>30</v>
      </c>
      <c r="M52" s="21">
        <v>10</v>
      </c>
      <c r="N52" s="21">
        <v>10</v>
      </c>
      <c r="O52" s="21">
        <v>10</v>
      </c>
      <c r="P52" s="67">
        <f t="shared" ref="P52:P56" si="47">M52+N52+O52</f>
        <v>30</v>
      </c>
      <c r="Q52" s="21">
        <v>10</v>
      </c>
      <c r="R52" s="21">
        <v>10</v>
      </c>
      <c r="S52" s="21">
        <v>10</v>
      </c>
      <c r="T52" s="67">
        <f t="shared" ref="T52:T56" si="48">Q52+R52+S52</f>
        <v>30</v>
      </c>
      <c r="U52" s="84">
        <f t="shared" ref="U52:U56" si="49">H52+L52+P52+T52</f>
        <v>260</v>
      </c>
    </row>
    <row r="53" spans="1:21" s="20" customFormat="1" ht="11.4" x14ac:dyDescent="0.2">
      <c r="A53" s="24"/>
      <c r="B53" s="24"/>
      <c r="C53" s="24"/>
      <c r="D53" s="24" t="s">
        <v>54</v>
      </c>
      <c r="E53" s="21"/>
      <c r="F53" s="21"/>
      <c r="G53" s="21"/>
      <c r="H53" s="67">
        <f t="shared" si="45"/>
        <v>0</v>
      </c>
      <c r="I53" s="21"/>
      <c r="J53" s="21"/>
      <c r="K53" s="21"/>
      <c r="L53" s="67">
        <f t="shared" si="46"/>
        <v>0</v>
      </c>
      <c r="M53" s="21"/>
      <c r="N53" s="21"/>
      <c r="O53" s="21"/>
      <c r="P53" s="67">
        <f t="shared" si="47"/>
        <v>0</v>
      </c>
      <c r="Q53" s="21"/>
      <c r="R53" s="21"/>
      <c r="S53" s="21"/>
      <c r="T53" s="67">
        <f t="shared" si="48"/>
        <v>0</v>
      </c>
      <c r="U53" s="84">
        <f t="shared" si="49"/>
        <v>0</v>
      </c>
    </row>
    <row r="54" spans="1:21" s="20" customFormat="1" ht="11.4" x14ac:dyDescent="0.2">
      <c r="A54" s="24"/>
      <c r="B54" s="24"/>
      <c r="C54" s="24"/>
      <c r="D54" s="24" t="s">
        <v>14</v>
      </c>
      <c r="E54" s="21"/>
      <c r="F54" s="21"/>
      <c r="G54" s="21"/>
      <c r="H54" s="67">
        <f t="shared" si="45"/>
        <v>0</v>
      </c>
      <c r="I54" s="21"/>
      <c r="J54" s="21"/>
      <c r="K54" s="21"/>
      <c r="L54" s="67">
        <f t="shared" si="46"/>
        <v>0</v>
      </c>
      <c r="M54" s="21"/>
      <c r="N54" s="21"/>
      <c r="O54" s="21"/>
      <c r="P54" s="67">
        <f t="shared" si="47"/>
        <v>0</v>
      </c>
      <c r="Q54" s="21"/>
      <c r="R54" s="21"/>
      <c r="S54" s="21"/>
      <c r="T54" s="67">
        <f t="shared" si="48"/>
        <v>0</v>
      </c>
      <c r="U54" s="84">
        <f t="shared" si="49"/>
        <v>0</v>
      </c>
    </row>
    <row r="55" spans="1:21" s="50" customFormat="1" ht="12" x14ac:dyDescent="0.25">
      <c r="A55" s="47"/>
      <c r="B55" s="47"/>
      <c r="C55" s="48"/>
      <c r="D55" s="23" t="s">
        <v>32</v>
      </c>
      <c r="E55" s="49"/>
      <c r="F55" s="49"/>
      <c r="G55" s="49"/>
      <c r="H55" s="67">
        <f t="shared" si="45"/>
        <v>0</v>
      </c>
      <c r="I55" s="49"/>
      <c r="J55" s="49"/>
      <c r="L55" s="67">
        <f t="shared" si="46"/>
        <v>0</v>
      </c>
      <c r="M55" s="51"/>
      <c r="N55" s="51"/>
      <c r="O55" s="51"/>
      <c r="P55" s="67">
        <f t="shared" si="47"/>
        <v>0</v>
      </c>
      <c r="Q55" s="49"/>
      <c r="R55" s="49"/>
      <c r="S55" s="49"/>
      <c r="T55" s="67">
        <f t="shared" si="48"/>
        <v>0</v>
      </c>
      <c r="U55" s="84">
        <f t="shared" si="49"/>
        <v>0</v>
      </c>
    </row>
    <row r="56" spans="1:21" s="20" customFormat="1" ht="12" x14ac:dyDescent="0.25">
      <c r="A56" s="50"/>
      <c r="B56" s="50"/>
      <c r="C56" s="53"/>
      <c r="D56" s="32" t="s">
        <v>12</v>
      </c>
      <c r="E56" s="21"/>
      <c r="F56" s="21"/>
      <c r="G56" s="21"/>
      <c r="H56" s="67">
        <f t="shared" si="45"/>
        <v>0</v>
      </c>
      <c r="I56" s="21"/>
      <c r="J56" s="21"/>
      <c r="K56" s="21"/>
      <c r="L56" s="67">
        <f t="shared" si="46"/>
        <v>0</v>
      </c>
      <c r="M56" s="21"/>
      <c r="N56" s="21"/>
      <c r="O56" s="21"/>
      <c r="P56" s="67">
        <f t="shared" si="47"/>
        <v>0</v>
      </c>
      <c r="Q56" s="21"/>
      <c r="R56" s="21"/>
      <c r="S56" s="21"/>
      <c r="T56" s="67">
        <f t="shared" si="48"/>
        <v>0</v>
      </c>
      <c r="U56" s="84">
        <f t="shared" si="49"/>
        <v>0</v>
      </c>
    </row>
    <row r="57" spans="1:21" s="20" customFormat="1" x14ac:dyDescent="0.25">
      <c r="A57" s="14" t="s">
        <v>50</v>
      </c>
      <c r="B57" s="14"/>
      <c r="C57" s="15"/>
      <c r="D57" s="14"/>
      <c r="E57" s="21"/>
      <c r="F57" s="21"/>
      <c r="G57" s="21"/>
      <c r="H57" s="67"/>
      <c r="I57" s="21"/>
      <c r="J57" s="21"/>
      <c r="K57"/>
      <c r="L57" s="94"/>
      <c r="M57"/>
      <c r="N57"/>
      <c r="O57"/>
      <c r="P57" s="94"/>
      <c r="Q57"/>
      <c r="R57"/>
      <c r="S57"/>
      <c r="T57" s="94"/>
      <c r="U57" s="84"/>
    </row>
    <row r="58" spans="1:21" s="20" customFormat="1" ht="12" x14ac:dyDescent="0.25">
      <c r="A58" s="52"/>
      <c r="B58" s="50"/>
      <c r="C58" s="53"/>
      <c r="D58" s="54" t="s">
        <v>51</v>
      </c>
      <c r="E58" s="21"/>
      <c r="F58" s="21"/>
      <c r="G58" s="21"/>
      <c r="H58" s="67">
        <f t="shared" ref="H58:H59" si="50">E58+F58+G58</f>
        <v>0</v>
      </c>
      <c r="I58" s="21"/>
      <c r="J58" s="21"/>
      <c r="K58" s="21"/>
      <c r="L58" s="67">
        <f t="shared" ref="L58:L59" si="51">I58+J58+K58</f>
        <v>0</v>
      </c>
      <c r="M58" s="21"/>
      <c r="N58" s="21"/>
      <c r="O58" s="21"/>
      <c r="P58" s="67">
        <f t="shared" ref="P58:P59" si="52">M58+N58+O58</f>
        <v>0</v>
      </c>
      <c r="Q58" s="21"/>
      <c r="R58" s="21"/>
      <c r="S58" s="21"/>
      <c r="T58" s="67">
        <f t="shared" ref="T58:T59" si="53">Q58+R58+S58</f>
        <v>0</v>
      </c>
      <c r="U58" s="84">
        <f t="shared" ref="U58:U59" si="54">H58+L58+P58+T58</f>
        <v>0</v>
      </c>
    </row>
    <row r="59" spans="1:21" s="20" customFormat="1" ht="12.6" thickBot="1" x14ac:dyDescent="0.3">
      <c r="A59" s="52"/>
      <c r="B59" s="50"/>
      <c r="C59" s="53"/>
      <c r="D59" s="54" t="s">
        <v>52</v>
      </c>
      <c r="E59" s="21"/>
      <c r="F59" s="21"/>
      <c r="G59" s="21"/>
      <c r="H59" s="67">
        <f t="shared" si="50"/>
        <v>0</v>
      </c>
      <c r="I59" s="21"/>
      <c r="J59" s="21"/>
      <c r="K59" s="21"/>
      <c r="L59" s="67">
        <f t="shared" si="51"/>
        <v>0</v>
      </c>
      <c r="M59" s="21"/>
      <c r="N59" s="21"/>
      <c r="O59" s="21"/>
      <c r="P59" s="67">
        <f t="shared" si="52"/>
        <v>0</v>
      </c>
      <c r="Q59" s="21"/>
      <c r="R59" s="21"/>
      <c r="S59" s="21"/>
      <c r="T59" s="67">
        <f t="shared" si="53"/>
        <v>0</v>
      </c>
      <c r="U59" s="84">
        <f t="shared" si="54"/>
        <v>0</v>
      </c>
    </row>
    <row r="60" spans="1:21" s="20" customFormat="1" ht="18" customHeight="1" thickBot="1" x14ac:dyDescent="0.35">
      <c r="A60" s="62"/>
      <c r="B60" s="63"/>
      <c r="C60" s="64"/>
      <c r="D60" s="85" t="s">
        <v>33</v>
      </c>
      <c r="E60" s="65"/>
      <c r="F60" s="65"/>
      <c r="G60" s="65"/>
      <c r="H60" s="66">
        <f>SUM(H6:H59)</f>
        <v>610</v>
      </c>
      <c r="I60" s="65"/>
      <c r="J60" s="65"/>
      <c r="K60" s="65"/>
      <c r="L60" s="66">
        <f>SUM(L6:L59)</f>
        <v>180</v>
      </c>
      <c r="M60" s="65"/>
      <c r="N60" s="65"/>
      <c r="O60" s="65"/>
      <c r="P60" s="66">
        <f>SUM(P6:P59)</f>
        <v>180</v>
      </c>
      <c r="Q60" s="65"/>
      <c r="R60" s="65"/>
      <c r="S60" s="65"/>
      <c r="T60" s="66">
        <f>SUM(T6:T59)</f>
        <v>180</v>
      </c>
      <c r="U60" s="95">
        <f>H60+L60+P60+T60</f>
        <v>1150</v>
      </c>
    </row>
    <row r="61" spans="1:21" s="20" customFormat="1" ht="11.4" x14ac:dyDescent="0.2">
      <c r="A61" s="29"/>
      <c r="B61" s="29"/>
      <c r="C61" s="30"/>
      <c r="D61" s="29"/>
      <c r="E61" s="31"/>
      <c r="F61" s="31"/>
      <c r="G61" s="31"/>
      <c r="H61" s="31"/>
      <c r="I61" s="31"/>
      <c r="J61" s="31"/>
      <c r="K61" s="31"/>
      <c r="L61" s="29"/>
      <c r="M61" s="29"/>
      <c r="N61" s="29"/>
      <c r="O61" s="29"/>
      <c r="P61" s="29"/>
      <c r="Q61" s="29"/>
      <c r="R61" s="29"/>
      <c r="S61" s="29"/>
      <c r="T61" s="29"/>
      <c r="U61" s="29"/>
    </row>
    <row r="62" spans="1:21" s="20" customFormat="1" ht="11.4" x14ac:dyDescent="0.2">
      <c r="A62" s="29"/>
      <c r="B62" s="29"/>
      <c r="C62" s="30"/>
      <c r="D62" s="29"/>
      <c r="E62" s="31"/>
      <c r="F62" s="55"/>
      <c r="G62" s="31"/>
      <c r="H62" s="31"/>
      <c r="I62" s="31"/>
      <c r="J62" s="31"/>
      <c r="K62" s="31"/>
      <c r="L62" s="29"/>
      <c r="M62" s="29"/>
      <c r="N62" s="29"/>
      <c r="O62" s="29"/>
      <c r="P62" s="29"/>
      <c r="Q62" s="29"/>
      <c r="R62" s="29"/>
      <c r="S62" s="29"/>
      <c r="T62" s="29"/>
      <c r="U62" s="29"/>
    </row>
    <row r="63" spans="1:21" s="20" customFormat="1" ht="11.4" x14ac:dyDescent="0.2">
      <c r="A63" s="29"/>
      <c r="B63" s="29"/>
      <c r="C63" s="30"/>
      <c r="D63" s="29"/>
      <c r="E63" s="31"/>
      <c r="F63" s="31"/>
      <c r="G63" s="31"/>
      <c r="H63" s="31"/>
      <c r="I63" s="31"/>
      <c r="J63" s="31"/>
      <c r="K63" s="31"/>
      <c r="L63" s="29"/>
      <c r="M63" s="29"/>
      <c r="N63" s="29"/>
      <c r="O63" s="29"/>
      <c r="P63" s="29"/>
      <c r="Q63" s="29"/>
      <c r="R63" s="29"/>
      <c r="S63" s="29"/>
      <c r="T63" s="29"/>
      <c r="U63" s="29"/>
    </row>
    <row r="64" spans="1:21" s="20" customFormat="1" ht="11.4" x14ac:dyDescent="0.2">
      <c r="A64" s="29"/>
      <c r="B64" s="29"/>
      <c r="C64" s="30"/>
      <c r="D64" s="29"/>
      <c r="E64" s="31"/>
      <c r="F64" s="31"/>
      <c r="G64" s="31"/>
      <c r="H64" s="31"/>
      <c r="I64" s="31"/>
      <c r="J64" s="31"/>
      <c r="K64" s="31"/>
      <c r="L64" s="29"/>
      <c r="M64" s="29"/>
      <c r="N64" s="29"/>
      <c r="O64" s="29"/>
      <c r="P64" s="29"/>
      <c r="Q64" s="29"/>
      <c r="R64" s="29"/>
      <c r="S64" s="29"/>
      <c r="T64" s="29"/>
      <c r="U64" s="29"/>
    </row>
    <row r="65" spans="1:21" s="20" customFormat="1" ht="11.4" x14ac:dyDescent="0.2">
      <c r="A65" s="29"/>
      <c r="B65" s="29"/>
      <c r="C65" s="30"/>
      <c r="D65" s="29"/>
      <c r="E65" s="31"/>
      <c r="F65" s="31"/>
      <c r="G65" s="31"/>
      <c r="H65" s="31"/>
      <c r="I65" s="31"/>
      <c r="J65" s="31"/>
      <c r="K65" s="31"/>
      <c r="L65" s="29"/>
      <c r="M65" s="29"/>
      <c r="N65" s="29"/>
      <c r="O65" s="29"/>
      <c r="P65" s="29"/>
      <c r="Q65" s="29"/>
      <c r="R65" s="29"/>
      <c r="S65" s="29"/>
      <c r="T65" s="29"/>
      <c r="U65" s="29"/>
    </row>
    <row r="66" spans="1:21" s="20" customFormat="1" ht="11.4" x14ac:dyDescent="0.2">
      <c r="A66" s="29"/>
      <c r="B66" s="29"/>
      <c r="C66" s="30"/>
      <c r="D66" s="29"/>
      <c r="E66" s="31"/>
      <c r="F66" s="31"/>
      <c r="G66" s="31"/>
      <c r="H66" s="31"/>
      <c r="I66" s="31"/>
      <c r="J66" s="31"/>
      <c r="K66" s="31"/>
      <c r="L66" s="29"/>
      <c r="M66" s="29"/>
      <c r="N66" s="29"/>
      <c r="O66" s="29"/>
      <c r="P66" s="29"/>
      <c r="Q66" s="29"/>
      <c r="R66" s="29"/>
      <c r="S66" s="29"/>
      <c r="T66" s="29"/>
      <c r="U66" s="29"/>
    </row>
    <row r="67" spans="1:21" s="20" customFormat="1" ht="11.4" x14ac:dyDescent="0.2">
      <c r="A67" s="29"/>
      <c r="B67" s="29"/>
      <c r="C67" s="30"/>
      <c r="D67" s="29"/>
      <c r="E67" s="31"/>
      <c r="F67" s="31"/>
      <c r="G67" s="31"/>
      <c r="H67" s="31"/>
      <c r="I67" s="31"/>
      <c r="J67" s="31"/>
      <c r="K67" s="31"/>
      <c r="L67" s="29"/>
      <c r="M67" s="29"/>
      <c r="N67" s="29"/>
      <c r="O67" s="29"/>
      <c r="P67" s="29"/>
      <c r="Q67" s="29"/>
      <c r="R67" s="29"/>
      <c r="S67" s="29"/>
      <c r="T67" s="29"/>
      <c r="U67" s="29"/>
    </row>
    <row r="68" spans="1:21" s="20" customFormat="1" ht="11.4" x14ac:dyDescent="0.2">
      <c r="A68" s="29"/>
      <c r="B68" s="29"/>
      <c r="C68" s="30"/>
      <c r="D68" s="29"/>
      <c r="E68" s="31"/>
      <c r="F68" s="31"/>
      <c r="G68" s="31"/>
      <c r="H68" s="31"/>
      <c r="I68" s="31"/>
      <c r="J68" s="31"/>
      <c r="K68" s="31"/>
      <c r="L68" s="29"/>
      <c r="M68" s="29"/>
      <c r="N68" s="29"/>
      <c r="O68" s="29"/>
      <c r="P68" s="29"/>
      <c r="Q68" s="29"/>
      <c r="R68" s="29"/>
      <c r="S68" s="29"/>
      <c r="T68" s="29"/>
      <c r="U68" s="29"/>
    </row>
    <row r="69" spans="1:21" s="20" customFormat="1" ht="11.4" x14ac:dyDescent="0.2">
      <c r="A69" s="29"/>
      <c r="B69" s="29"/>
      <c r="C69" s="30"/>
      <c r="D69" s="29"/>
      <c r="E69" s="31"/>
      <c r="F69" s="31"/>
      <c r="G69" s="31"/>
      <c r="H69" s="31"/>
      <c r="I69" s="31"/>
      <c r="J69" s="31"/>
      <c r="K69" s="31"/>
      <c r="L69" s="29"/>
      <c r="M69" s="29"/>
      <c r="N69" s="29"/>
      <c r="O69" s="29"/>
      <c r="P69" s="29"/>
      <c r="Q69" s="29"/>
      <c r="R69" s="29"/>
      <c r="S69" s="29"/>
      <c r="T69" s="29"/>
      <c r="U69" s="29"/>
    </row>
    <row r="70" spans="1:21" s="20" customFormat="1" ht="11.4" x14ac:dyDescent="0.2">
      <c r="A70" s="29"/>
      <c r="B70" s="29"/>
      <c r="C70" s="30"/>
      <c r="D70" s="29"/>
      <c r="E70" s="31"/>
      <c r="F70" s="31"/>
      <c r="G70" s="31"/>
      <c r="H70" s="31"/>
      <c r="I70" s="31"/>
      <c r="J70" s="31"/>
      <c r="K70" s="31"/>
      <c r="L70" s="29"/>
      <c r="M70" s="29"/>
      <c r="N70" s="29"/>
      <c r="O70" s="29"/>
      <c r="P70" s="29"/>
      <c r="Q70" s="29"/>
      <c r="R70" s="29"/>
      <c r="S70" s="29"/>
      <c r="T70" s="29"/>
      <c r="U70" s="29"/>
    </row>
    <row r="71" spans="1:21" s="20" customFormat="1" ht="11.4" x14ac:dyDescent="0.2">
      <c r="A71" s="29"/>
      <c r="B71" s="29"/>
      <c r="C71" s="30"/>
      <c r="D71" s="29"/>
      <c r="E71" s="31"/>
      <c r="F71" s="31"/>
      <c r="G71" s="31"/>
      <c r="H71" s="31"/>
      <c r="I71" s="31"/>
      <c r="J71" s="31"/>
      <c r="K71" s="31"/>
      <c r="L71" s="29"/>
      <c r="M71" s="29"/>
      <c r="N71" s="29"/>
      <c r="O71" s="29"/>
      <c r="P71" s="29"/>
      <c r="Q71" s="29"/>
      <c r="R71" s="29"/>
      <c r="S71" s="29"/>
      <c r="T71" s="29"/>
      <c r="U71" s="29"/>
    </row>
    <row r="72" spans="1:21" s="20" customFormat="1" ht="11.4" x14ac:dyDescent="0.2">
      <c r="A72" s="29"/>
      <c r="B72" s="29"/>
      <c r="C72" s="30"/>
      <c r="D72" s="29"/>
      <c r="E72" s="31"/>
      <c r="F72" s="31"/>
      <c r="G72" s="31"/>
      <c r="H72" s="31"/>
      <c r="I72" s="31"/>
      <c r="J72" s="31"/>
      <c r="K72" s="31"/>
      <c r="L72" s="29"/>
      <c r="M72" s="29"/>
      <c r="N72" s="29"/>
      <c r="O72" s="29"/>
      <c r="P72" s="29"/>
      <c r="Q72" s="29"/>
      <c r="R72" s="29"/>
      <c r="S72" s="29"/>
      <c r="T72" s="29"/>
      <c r="U72" s="29"/>
    </row>
    <row r="73" spans="1:21" s="20" customFormat="1" ht="11.4" x14ac:dyDescent="0.2">
      <c r="A73" s="29"/>
      <c r="B73" s="29"/>
      <c r="C73" s="30"/>
      <c r="D73" s="29"/>
      <c r="E73" s="31"/>
      <c r="F73" s="31"/>
      <c r="G73" s="31"/>
      <c r="H73" s="31"/>
      <c r="I73" s="31"/>
      <c r="J73" s="31"/>
      <c r="K73" s="31"/>
      <c r="L73" s="29"/>
      <c r="M73" s="29"/>
      <c r="N73" s="29"/>
      <c r="O73" s="29"/>
      <c r="P73" s="29"/>
      <c r="Q73" s="29"/>
      <c r="R73" s="29"/>
      <c r="S73" s="29"/>
      <c r="T73" s="29"/>
      <c r="U73" s="29"/>
    </row>
    <row r="74" spans="1:21" s="20" customFormat="1" ht="11.4" x14ac:dyDescent="0.2">
      <c r="A74" s="29"/>
      <c r="B74" s="29"/>
      <c r="C74" s="30"/>
      <c r="D74" s="29"/>
      <c r="E74" s="31"/>
      <c r="F74" s="31"/>
      <c r="G74" s="31"/>
      <c r="H74" s="31"/>
      <c r="I74" s="31"/>
      <c r="J74" s="31"/>
      <c r="K74" s="31"/>
      <c r="L74" s="29"/>
      <c r="M74" s="29"/>
      <c r="N74" s="29"/>
      <c r="O74" s="29"/>
      <c r="P74" s="29"/>
      <c r="Q74" s="29"/>
      <c r="R74" s="29"/>
      <c r="S74" s="29"/>
      <c r="T74" s="29"/>
      <c r="U74" s="29"/>
    </row>
    <row r="75" spans="1:21" s="20" customFormat="1" ht="11.4" x14ac:dyDescent="0.2">
      <c r="A75" s="29"/>
      <c r="B75" s="29"/>
      <c r="C75" s="30"/>
      <c r="D75" s="29"/>
      <c r="E75" s="31"/>
      <c r="F75" s="31"/>
      <c r="G75" s="31"/>
      <c r="H75" s="31"/>
      <c r="I75" s="31"/>
      <c r="J75" s="31"/>
      <c r="K75" s="31"/>
      <c r="L75" s="29"/>
      <c r="M75" s="29"/>
      <c r="N75" s="29"/>
      <c r="O75" s="29"/>
      <c r="P75" s="29"/>
      <c r="Q75" s="29"/>
      <c r="R75" s="29"/>
      <c r="S75" s="29"/>
      <c r="T75" s="29"/>
      <c r="U75" s="29"/>
    </row>
    <row r="76" spans="1:21" s="20" customFormat="1" ht="11.4" x14ac:dyDescent="0.2">
      <c r="A76" s="29"/>
      <c r="B76" s="29"/>
      <c r="C76" s="30"/>
      <c r="D76" s="29"/>
      <c r="E76" s="31"/>
      <c r="F76" s="31"/>
      <c r="G76" s="31"/>
      <c r="H76" s="31"/>
      <c r="I76" s="31"/>
      <c r="J76" s="31"/>
      <c r="K76" s="31"/>
      <c r="L76" s="29"/>
      <c r="M76" s="29"/>
      <c r="N76" s="29"/>
      <c r="O76" s="29"/>
      <c r="P76" s="29"/>
      <c r="Q76" s="29"/>
      <c r="R76" s="29"/>
      <c r="S76" s="29"/>
      <c r="T76" s="29"/>
      <c r="U76" s="29"/>
    </row>
    <row r="77" spans="1:21" s="20" customFormat="1" ht="11.4" x14ac:dyDescent="0.2">
      <c r="A77" s="29"/>
      <c r="B77" s="29"/>
      <c r="C77" s="30"/>
      <c r="D77" s="29"/>
      <c r="E77" s="31"/>
      <c r="F77" s="31"/>
      <c r="G77" s="31"/>
      <c r="H77" s="31"/>
      <c r="I77" s="31"/>
      <c r="J77" s="31"/>
      <c r="K77" s="31"/>
      <c r="L77" s="29"/>
      <c r="M77" s="29"/>
      <c r="N77" s="29"/>
      <c r="O77" s="29"/>
      <c r="P77" s="29"/>
      <c r="Q77" s="29"/>
      <c r="R77" s="29"/>
      <c r="S77" s="29"/>
      <c r="T77" s="29"/>
      <c r="U77" s="29"/>
    </row>
    <row r="78" spans="1:21" s="20" customFormat="1" ht="11.4" x14ac:dyDescent="0.2">
      <c r="A78" s="29"/>
      <c r="B78" s="29"/>
      <c r="C78" s="30"/>
      <c r="D78" s="29"/>
      <c r="E78" s="31"/>
      <c r="F78" s="31"/>
      <c r="G78" s="31"/>
      <c r="H78" s="31"/>
      <c r="I78" s="31"/>
      <c r="J78" s="31"/>
      <c r="K78" s="31"/>
      <c r="L78" s="29"/>
      <c r="M78" s="29"/>
      <c r="N78" s="29"/>
      <c r="O78" s="29"/>
      <c r="P78" s="29"/>
      <c r="Q78" s="29"/>
      <c r="R78" s="29"/>
      <c r="S78" s="29"/>
      <c r="T78" s="29"/>
      <c r="U78" s="29"/>
    </row>
    <row r="79" spans="1:21" s="20" customFormat="1" ht="11.4" x14ac:dyDescent="0.2">
      <c r="A79" s="29"/>
      <c r="B79" s="29"/>
      <c r="C79" s="30"/>
      <c r="D79" s="29"/>
      <c r="E79" s="31"/>
      <c r="F79" s="31"/>
      <c r="G79" s="31"/>
      <c r="H79" s="31"/>
      <c r="I79" s="31"/>
      <c r="J79" s="31"/>
      <c r="K79" s="31"/>
      <c r="L79" s="29"/>
      <c r="M79" s="29"/>
      <c r="N79" s="29"/>
      <c r="O79" s="29"/>
      <c r="P79" s="29"/>
      <c r="Q79" s="29"/>
      <c r="R79" s="29"/>
      <c r="S79" s="29"/>
      <c r="T79" s="29"/>
      <c r="U79" s="29"/>
    </row>
    <row r="80" spans="1:21" s="20" customFormat="1" ht="11.4" x14ac:dyDescent="0.2">
      <c r="A80" s="29"/>
      <c r="B80" s="29"/>
      <c r="C80" s="30"/>
      <c r="D80" s="29"/>
      <c r="E80" s="31"/>
      <c r="F80" s="31"/>
      <c r="G80" s="31"/>
      <c r="H80" s="31"/>
      <c r="I80" s="31"/>
      <c r="J80" s="31"/>
      <c r="K80" s="31"/>
      <c r="L80" s="29"/>
      <c r="M80" s="29"/>
      <c r="N80" s="29"/>
      <c r="O80" s="29"/>
      <c r="P80" s="29"/>
      <c r="Q80" s="29"/>
      <c r="R80" s="29"/>
      <c r="S80" s="29"/>
      <c r="T80" s="29"/>
      <c r="U80" s="29"/>
    </row>
    <row r="81" spans="1:21" s="20" customFormat="1" ht="11.4" x14ac:dyDescent="0.2">
      <c r="A81" s="29"/>
      <c r="B81" s="29"/>
      <c r="C81" s="30"/>
      <c r="D81" s="29"/>
      <c r="E81" s="31"/>
      <c r="F81" s="31"/>
      <c r="G81" s="31"/>
      <c r="H81" s="31"/>
      <c r="I81" s="31"/>
      <c r="J81" s="31"/>
      <c r="K81" s="31"/>
      <c r="L81" s="29"/>
      <c r="M81" s="29"/>
      <c r="N81" s="29"/>
      <c r="O81" s="29"/>
      <c r="P81" s="29"/>
      <c r="Q81" s="29"/>
      <c r="R81" s="29"/>
      <c r="S81" s="29"/>
      <c r="T81" s="29"/>
      <c r="U81" s="29"/>
    </row>
    <row r="82" spans="1:21" s="20" customFormat="1" ht="11.4" x14ac:dyDescent="0.2">
      <c r="A82" s="29"/>
      <c r="B82" s="29"/>
      <c r="C82" s="30"/>
      <c r="D82" s="29"/>
      <c r="E82" s="31"/>
      <c r="F82" s="31"/>
      <c r="G82" s="31"/>
      <c r="H82" s="31"/>
      <c r="I82" s="31"/>
      <c r="J82" s="31"/>
      <c r="K82" s="31"/>
      <c r="L82" s="29"/>
      <c r="M82" s="29"/>
      <c r="N82" s="29"/>
      <c r="O82" s="29"/>
      <c r="P82" s="29"/>
      <c r="Q82" s="29"/>
      <c r="R82" s="29"/>
      <c r="S82" s="29"/>
      <c r="T82" s="29"/>
      <c r="U82" s="29"/>
    </row>
    <row r="83" spans="1:21" s="20" customFormat="1" ht="11.4" x14ac:dyDescent="0.2">
      <c r="A83" s="29"/>
      <c r="B83" s="29"/>
      <c r="C83" s="30"/>
      <c r="D83" s="29"/>
      <c r="E83" s="31"/>
      <c r="F83" s="31"/>
      <c r="G83" s="31"/>
      <c r="H83" s="31"/>
      <c r="I83" s="31"/>
      <c r="J83" s="31"/>
      <c r="K83" s="31"/>
      <c r="L83" s="29"/>
      <c r="M83" s="29"/>
      <c r="N83" s="29"/>
      <c r="O83" s="29"/>
      <c r="P83" s="29"/>
      <c r="Q83" s="29"/>
      <c r="R83" s="29"/>
      <c r="S83" s="29"/>
      <c r="T83" s="29"/>
      <c r="U83" s="29"/>
    </row>
    <row r="84" spans="1:21" s="20" customFormat="1" ht="11.4" x14ac:dyDescent="0.2">
      <c r="A84" s="29"/>
      <c r="B84" s="29"/>
      <c r="C84" s="30"/>
      <c r="D84" s="29"/>
      <c r="E84" s="31"/>
      <c r="F84" s="31"/>
      <c r="G84" s="31"/>
      <c r="H84" s="31"/>
      <c r="I84" s="31"/>
      <c r="J84" s="31"/>
      <c r="K84" s="31"/>
      <c r="L84" s="29"/>
      <c r="M84" s="29"/>
      <c r="N84" s="29"/>
      <c r="O84" s="29"/>
      <c r="P84" s="29"/>
      <c r="Q84" s="29"/>
      <c r="R84" s="29"/>
      <c r="S84" s="29"/>
      <c r="T84" s="29"/>
      <c r="U84" s="29"/>
    </row>
    <row r="85" spans="1:21" s="20" customFormat="1" ht="11.4" x14ac:dyDescent="0.2">
      <c r="A85" s="29"/>
      <c r="B85" s="29"/>
      <c r="C85" s="30"/>
      <c r="D85" s="29"/>
      <c r="E85" s="31"/>
      <c r="F85" s="31"/>
      <c r="G85" s="31"/>
      <c r="H85" s="31"/>
      <c r="I85" s="31"/>
      <c r="J85" s="31"/>
      <c r="K85" s="31"/>
      <c r="L85" s="29"/>
      <c r="M85" s="29"/>
      <c r="N85" s="29"/>
      <c r="O85" s="29"/>
      <c r="P85" s="29"/>
      <c r="Q85" s="29"/>
      <c r="R85" s="29"/>
      <c r="S85" s="29"/>
      <c r="T85" s="29"/>
      <c r="U85" s="29"/>
    </row>
    <row r="86" spans="1:21" s="20" customFormat="1" ht="11.4" x14ac:dyDescent="0.2">
      <c r="A86" s="29"/>
      <c r="B86" s="29"/>
      <c r="C86" s="30"/>
      <c r="D86" s="29"/>
      <c r="E86" s="31"/>
      <c r="F86" s="31"/>
      <c r="G86" s="31"/>
      <c r="H86" s="31"/>
      <c r="I86" s="31"/>
      <c r="J86" s="31"/>
      <c r="K86" s="31"/>
      <c r="L86" s="29"/>
      <c r="M86" s="29"/>
      <c r="N86" s="29"/>
      <c r="O86" s="29"/>
      <c r="P86" s="29"/>
      <c r="Q86" s="29"/>
      <c r="R86" s="29"/>
      <c r="S86" s="29"/>
      <c r="T86" s="29"/>
      <c r="U86" s="29"/>
    </row>
    <row r="87" spans="1:21" s="20" customFormat="1" ht="11.4" x14ac:dyDescent="0.2">
      <c r="A87" s="29"/>
      <c r="B87" s="29"/>
      <c r="C87" s="30"/>
      <c r="D87" s="29"/>
      <c r="E87" s="31"/>
      <c r="F87" s="31"/>
      <c r="G87" s="31"/>
      <c r="H87" s="31"/>
      <c r="I87" s="31"/>
      <c r="J87" s="31"/>
      <c r="K87" s="31"/>
      <c r="L87" s="29"/>
      <c r="M87" s="29"/>
      <c r="N87" s="29"/>
      <c r="O87" s="29"/>
      <c r="P87" s="29"/>
      <c r="Q87" s="29"/>
      <c r="R87" s="29"/>
      <c r="S87" s="29"/>
      <c r="T87" s="29"/>
      <c r="U87" s="29"/>
    </row>
    <row r="88" spans="1:21" s="20" customFormat="1" ht="11.4" x14ac:dyDescent="0.2">
      <c r="A88" s="29"/>
      <c r="B88" s="29"/>
      <c r="C88" s="30"/>
      <c r="D88" s="29"/>
      <c r="E88" s="31"/>
      <c r="F88" s="31"/>
      <c r="G88" s="31"/>
      <c r="H88" s="31"/>
      <c r="I88" s="31"/>
      <c r="J88" s="31"/>
      <c r="K88" s="31"/>
      <c r="L88" s="29"/>
      <c r="M88" s="29"/>
      <c r="N88" s="29"/>
      <c r="O88" s="29"/>
      <c r="P88" s="29"/>
      <c r="Q88" s="29"/>
      <c r="R88" s="29"/>
      <c r="S88" s="29"/>
      <c r="T88" s="29"/>
      <c r="U88" s="29"/>
    </row>
    <row r="89" spans="1:21" s="20" customFormat="1" ht="11.4" x14ac:dyDescent="0.2">
      <c r="A89" s="29"/>
      <c r="B89" s="29"/>
      <c r="C89" s="30"/>
      <c r="D89" s="29"/>
      <c r="E89" s="31"/>
      <c r="F89" s="31"/>
      <c r="G89" s="31"/>
      <c r="H89" s="31"/>
      <c r="I89" s="31"/>
      <c r="J89" s="31"/>
      <c r="K89" s="31"/>
      <c r="L89" s="29"/>
      <c r="M89" s="29"/>
      <c r="N89" s="29"/>
      <c r="O89" s="29"/>
      <c r="P89" s="29"/>
      <c r="Q89" s="29"/>
      <c r="R89" s="29"/>
      <c r="S89" s="29"/>
      <c r="T89" s="29"/>
      <c r="U89" s="29"/>
    </row>
    <row r="90" spans="1:21" s="20" customFormat="1" ht="11.4" x14ac:dyDescent="0.2">
      <c r="A90" s="29"/>
      <c r="B90" s="29"/>
      <c r="C90" s="30"/>
      <c r="D90" s="29"/>
      <c r="E90" s="31"/>
      <c r="F90" s="31"/>
      <c r="G90" s="31"/>
      <c r="H90" s="31"/>
      <c r="I90" s="31"/>
      <c r="J90" s="31"/>
      <c r="K90" s="31"/>
      <c r="L90" s="29"/>
      <c r="M90" s="29"/>
      <c r="N90" s="29"/>
      <c r="O90" s="29"/>
      <c r="P90" s="29"/>
      <c r="Q90" s="29"/>
      <c r="R90" s="29"/>
      <c r="S90" s="29"/>
      <c r="T90" s="29"/>
      <c r="U90" s="29"/>
    </row>
    <row r="91" spans="1:21" s="20" customFormat="1" ht="11.4" x14ac:dyDescent="0.2">
      <c r="A91" s="29"/>
      <c r="B91" s="29"/>
      <c r="C91" s="30"/>
      <c r="D91" s="29"/>
      <c r="E91" s="31"/>
      <c r="F91" s="31"/>
      <c r="G91" s="31"/>
      <c r="H91" s="31"/>
      <c r="I91" s="31"/>
      <c r="J91" s="31"/>
      <c r="K91" s="31"/>
      <c r="L91" s="29"/>
      <c r="M91" s="29"/>
      <c r="N91" s="29"/>
      <c r="O91" s="29"/>
      <c r="P91" s="29"/>
      <c r="Q91" s="29"/>
      <c r="R91" s="29"/>
      <c r="S91" s="29"/>
      <c r="T91" s="29"/>
      <c r="U91" s="29"/>
    </row>
    <row r="92" spans="1:21" s="20" customFormat="1" ht="11.4" x14ac:dyDescent="0.2">
      <c r="A92" s="29"/>
      <c r="B92" s="29"/>
      <c r="C92" s="30"/>
      <c r="D92" s="29"/>
      <c r="E92" s="31"/>
      <c r="F92" s="31"/>
      <c r="G92" s="31"/>
      <c r="H92" s="31"/>
      <c r="I92" s="31"/>
      <c r="J92" s="31"/>
      <c r="K92" s="31"/>
      <c r="L92" s="29"/>
      <c r="M92" s="29"/>
      <c r="N92" s="29"/>
      <c r="O92" s="29"/>
      <c r="P92" s="29"/>
      <c r="Q92" s="29"/>
      <c r="R92" s="29"/>
      <c r="S92" s="29"/>
      <c r="T92" s="29"/>
      <c r="U92" s="29"/>
    </row>
    <row r="93" spans="1:21" s="20" customFormat="1" ht="11.4" x14ac:dyDescent="0.2">
      <c r="A93" s="29"/>
      <c r="B93" s="29"/>
      <c r="C93" s="30"/>
      <c r="D93" s="29"/>
      <c r="E93" s="31"/>
      <c r="F93" s="31"/>
      <c r="G93" s="31"/>
      <c r="H93" s="31"/>
      <c r="I93" s="31"/>
      <c r="J93" s="31"/>
      <c r="K93" s="31"/>
      <c r="L93" s="29"/>
      <c r="M93" s="29"/>
      <c r="N93" s="29"/>
      <c r="O93" s="29"/>
      <c r="P93" s="29"/>
      <c r="Q93" s="29"/>
      <c r="R93" s="29"/>
      <c r="S93" s="29"/>
      <c r="T93" s="29"/>
      <c r="U93" s="29"/>
    </row>
    <row r="94" spans="1:21" s="20" customFormat="1" ht="11.4" x14ac:dyDescent="0.2">
      <c r="A94" s="29"/>
      <c r="B94" s="29"/>
      <c r="C94" s="30"/>
      <c r="D94" s="29"/>
      <c r="E94" s="31"/>
      <c r="F94" s="31"/>
      <c r="G94" s="31"/>
      <c r="H94" s="31"/>
      <c r="I94" s="31"/>
      <c r="J94" s="31"/>
      <c r="K94" s="31"/>
      <c r="L94" s="29"/>
      <c r="M94" s="29"/>
      <c r="N94" s="29"/>
      <c r="O94" s="29"/>
      <c r="P94" s="29"/>
      <c r="Q94" s="29"/>
      <c r="R94" s="29"/>
      <c r="S94" s="29"/>
      <c r="T94" s="29"/>
      <c r="U94" s="29"/>
    </row>
    <row r="95" spans="1:21" s="20" customFormat="1" ht="11.4" x14ac:dyDescent="0.2">
      <c r="A95" s="29"/>
      <c r="B95" s="29"/>
      <c r="C95" s="30"/>
      <c r="D95" s="29"/>
      <c r="E95" s="31"/>
      <c r="F95" s="31"/>
      <c r="G95" s="31"/>
      <c r="H95" s="31"/>
      <c r="I95" s="31"/>
      <c r="J95" s="31"/>
      <c r="K95" s="31"/>
      <c r="L95" s="29"/>
      <c r="M95" s="29"/>
      <c r="N95" s="29"/>
      <c r="O95" s="29"/>
      <c r="P95" s="29"/>
      <c r="Q95" s="29"/>
      <c r="R95" s="29"/>
      <c r="S95" s="29"/>
      <c r="T95" s="29"/>
      <c r="U95" s="29"/>
    </row>
    <row r="96" spans="1:21" s="20" customFormat="1" ht="11.4" x14ac:dyDescent="0.2">
      <c r="A96" s="29"/>
      <c r="B96" s="29"/>
      <c r="C96" s="30"/>
      <c r="D96" s="29"/>
      <c r="E96" s="31"/>
      <c r="F96" s="31"/>
      <c r="G96" s="31"/>
      <c r="H96" s="31"/>
      <c r="I96" s="31"/>
      <c r="J96" s="31"/>
      <c r="K96" s="31"/>
      <c r="L96" s="29"/>
      <c r="M96" s="29"/>
      <c r="N96" s="29"/>
      <c r="O96" s="29"/>
      <c r="P96" s="29"/>
      <c r="Q96" s="29"/>
      <c r="R96" s="29"/>
      <c r="S96" s="29"/>
      <c r="T96" s="29"/>
      <c r="U96" s="29"/>
    </row>
    <row r="97" spans="1:21" s="20" customFormat="1" ht="11.4" x14ac:dyDescent="0.2">
      <c r="A97" s="29"/>
      <c r="B97" s="29"/>
      <c r="C97" s="30"/>
      <c r="D97" s="29"/>
      <c r="E97" s="31"/>
      <c r="F97" s="31"/>
      <c r="G97" s="31"/>
      <c r="H97" s="31"/>
      <c r="I97" s="31"/>
      <c r="J97" s="31"/>
      <c r="K97" s="31"/>
      <c r="L97" s="29"/>
      <c r="M97" s="29"/>
      <c r="N97" s="29"/>
      <c r="O97" s="29"/>
      <c r="P97" s="29"/>
      <c r="Q97" s="29"/>
      <c r="R97" s="29"/>
      <c r="S97" s="29"/>
      <c r="T97" s="29"/>
      <c r="U97" s="29"/>
    </row>
    <row r="98" spans="1:21" s="20" customFormat="1" ht="11.4" x14ac:dyDescent="0.2">
      <c r="A98" s="29"/>
      <c r="B98" s="29"/>
      <c r="C98" s="30"/>
      <c r="D98" s="29"/>
      <c r="E98" s="31"/>
      <c r="F98" s="31"/>
      <c r="G98" s="31"/>
      <c r="H98" s="31"/>
      <c r="I98" s="31"/>
      <c r="J98" s="31"/>
      <c r="K98" s="31"/>
      <c r="L98" s="29"/>
      <c r="M98" s="29"/>
      <c r="N98" s="29"/>
      <c r="O98" s="29"/>
      <c r="P98" s="29"/>
      <c r="Q98" s="29"/>
      <c r="R98" s="29"/>
      <c r="S98" s="29"/>
      <c r="T98" s="29"/>
      <c r="U98" s="29"/>
    </row>
    <row r="99" spans="1:21" s="20" customFormat="1" ht="11.4" x14ac:dyDescent="0.2">
      <c r="A99" s="29"/>
      <c r="B99" s="29"/>
      <c r="C99" s="30"/>
      <c r="D99" s="29"/>
      <c r="E99" s="31"/>
      <c r="F99" s="31"/>
      <c r="G99" s="31"/>
      <c r="H99" s="31"/>
      <c r="I99" s="31"/>
      <c r="J99" s="31"/>
      <c r="K99" s="31"/>
      <c r="L99" s="29"/>
      <c r="M99" s="29"/>
      <c r="N99" s="29"/>
      <c r="O99" s="29"/>
      <c r="P99" s="29"/>
      <c r="Q99" s="29"/>
      <c r="R99" s="29"/>
      <c r="S99" s="29"/>
      <c r="T99" s="29"/>
      <c r="U99" s="29"/>
    </row>
    <row r="100" spans="1:21" s="20" customFormat="1" ht="11.4" x14ac:dyDescent="0.2">
      <c r="A100" s="29"/>
      <c r="B100" s="29"/>
      <c r="C100" s="30"/>
      <c r="D100" s="29"/>
      <c r="E100" s="31"/>
      <c r="F100" s="31"/>
      <c r="G100" s="31"/>
      <c r="H100" s="31"/>
      <c r="I100" s="31"/>
      <c r="J100" s="31"/>
      <c r="K100" s="31"/>
      <c r="L100" s="29"/>
      <c r="M100" s="29"/>
      <c r="N100" s="29"/>
      <c r="O100" s="29"/>
      <c r="P100" s="29"/>
      <c r="Q100" s="29"/>
      <c r="R100" s="29"/>
      <c r="S100" s="29"/>
      <c r="T100" s="29"/>
      <c r="U100" s="29"/>
    </row>
    <row r="101" spans="1:21" s="20" customFormat="1" ht="11.4" x14ac:dyDescent="0.2">
      <c r="A101" s="29"/>
      <c r="B101" s="29"/>
      <c r="C101" s="30"/>
      <c r="D101" s="29"/>
      <c r="E101" s="31"/>
      <c r="F101" s="31"/>
      <c r="G101" s="31"/>
      <c r="H101" s="31"/>
      <c r="I101" s="31"/>
      <c r="J101" s="31"/>
      <c r="K101" s="31"/>
      <c r="L101" s="29"/>
      <c r="M101" s="29"/>
      <c r="N101" s="29"/>
      <c r="O101" s="29"/>
      <c r="P101" s="29"/>
      <c r="Q101" s="29"/>
      <c r="R101" s="29"/>
      <c r="S101" s="29"/>
      <c r="T101" s="29"/>
      <c r="U101" s="29"/>
    </row>
    <row r="102" spans="1:21" s="20" customFormat="1" ht="11.4" x14ac:dyDescent="0.2">
      <c r="A102" s="29"/>
      <c r="B102" s="29"/>
      <c r="C102" s="30"/>
      <c r="D102" s="29"/>
      <c r="E102" s="31"/>
      <c r="F102" s="31"/>
      <c r="G102" s="31"/>
      <c r="H102" s="31"/>
      <c r="I102" s="31"/>
      <c r="J102" s="31"/>
      <c r="K102" s="31"/>
      <c r="L102" s="29"/>
      <c r="M102" s="29"/>
      <c r="N102" s="29"/>
      <c r="O102" s="29"/>
      <c r="P102" s="29"/>
      <c r="Q102" s="29"/>
      <c r="R102" s="29"/>
      <c r="S102" s="29"/>
      <c r="T102" s="29"/>
      <c r="U102" s="29"/>
    </row>
  </sheetData>
  <phoneticPr fontId="2" type="noConversion"/>
  <pageMargins left="0.28999999999999998" right="0.51" top="0.36" bottom="0.34" header="0.72" footer="0.17"/>
  <pageSetup scale="53" fitToHeight="3" orientation="landscape" horizontalDpi="300" verticalDpi="300" r:id="rId1"/>
  <headerFooter alignWithMargins="0">
    <oddFooter>&amp;L41st Parameter Confidential&amp;C&amp;A&amp;R&amp;D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0E8C9-6772-4E2A-B436-A4E069CC0828}">
  <dimension ref="A1:O60"/>
  <sheetViews>
    <sheetView topLeftCell="A9" workbookViewId="0">
      <selection activeCell="I48" sqref="I48"/>
    </sheetView>
  </sheetViews>
  <sheetFormatPr defaultColWidth="9.109375" defaultRowHeight="13.2" x14ac:dyDescent="0.25"/>
  <cols>
    <col min="1" max="1" width="18.77734375" style="136" customWidth="1"/>
    <col min="2" max="2" width="5.6640625" style="164" customWidth="1"/>
    <col min="3" max="3" width="7" style="164" bestFit="1" customWidth="1"/>
    <col min="4" max="15" width="5.6640625" style="164" customWidth="1"/>
    <col min="16" max="16" width="7.6640625" style="164" customWidth="1"/>
    <col min="17" max="256" width="9.109375" style="164"/>
    <col min="257" max="257" width="18.77734375" style="164" customWidth="1"/>
    <col min="258" max="258" width="5.6640625" style="164" customWidth="1"/>
    <col min="259" max="259" width="7" style="164" bestFit="1" customWidth="1"/>
    <col min="260" max="271" width="5.6640625" style="164" customWidth="1"/>
    <col min="272" max="272" width="7.6640625" style="164" customWidth="1"/>
    <col min="273" max="512" width="9.109375" style="164"/>
    <col min="513" max="513" width="18.77734375" style="164" customWidth="1"/>
    <col min="514" max="514" width="5.6640625" style="164" customWidth="1"/>
    <col min="515" max="515" width="7" style="164" bestFit="1" customWidth="1"/>
    <col min="516" max="527" width="5.6640625" style="164" customWidth="1"/>
    <col min="528" max="528" width="7.6640625" style="164" customWidth="1"/>
    <col min="529" max="768" width="9.109375" style="164"/>
    <col min="769" max="769" width="18.77734375" style="164" customWidth="1"/>
    <col min="770" max="770" width="5.6640625" style="164" customWidth="1"/>
    <col min="771" max="771" width="7" style="164" bestFit="1" customWidth="1"/>
    <col min="772" max="783" width="5.6640625" style="164" customWidth="1"/>
    <col min="784" max="784" width="7.6640625" style="164" customWidth="1"/>
    <col min="785" max="1024" width="9.109375" style="164"/>
    <col min="1025" max="1025" width="18.77734375" style="164" customWidth="1"/>
    <col min="1026" max="1026" width="5.6640625" style="164" customWidth="1"/>
    <col min="1027" max="1027" width="7" style="164" bestFit="1" customWidth="1"/>
    <col min="1028" max="1039" width="5.6640625" style="164" customWidth="1"/>
    <col min="1040" max="1040" width="7.6640625" style="164" customWidth="1"/>
    <col min="1041" max="1280" width="9.109375" style="164"/>
    <col min="1281" max="1281" width="18.77734375" style="164" customWidth="1"/>
    <col min="1282" max="1282" width="5.6640625" style="164" customWidth="1"/>
    <col min="1283" max="1283" width="7" style="164" bestFit="1" customWidth="1"/>
    <col min="1284" max="1295" width="5.6640625" style="164" customWidth="1"/>
    <col min="1296" max="1296" width="7.6640625" style="164" customWidth="1"/>
    <col min="1297" max="1536" width="9.109375" style="164"/>
    <col min="1537" max="1537" width="18.77734375" style="164" customWidth="1"/>
    <col min="1538" max="1538" width="5.6640625" style="164" customWidth="1"/>
    <col min="1539" max="1539" width="7" style="164" bestFit="1" customWidth="1"/>
    <col min="1540" max="1551" width="5.6640625" style="164" customWidth="1"/>
    <col min="1552" max="1552" width="7.6640625" style="164" customWidth="1"/>
    <col min="1553" max="1792" width="9.109375" style="164"/>
    <col min="1793" max="1793" width="18.77734375" style="164" customWidth="1"/>
    <col min="1794" max="1794" width="5.6640625" style="164" customWidth="1"/>
    <col min="1795" max="1795" width="7" style="164" bestFit="1" customWidth="1"/>
    <col min="1796" max="1807" width="5.6640625" style="164" customWidth="1"/>
    <col min="1808" max="1808" width="7.6640625" style="164" customWidth="1"/>
    <col min="1809" max="2048" width="9.109375" style="164"/>
    <col min="2049" max="2049" width="18.77734375" style="164" customWidth="1"/>
    <col min="2050" max="2050" width="5.6640625" style="164" customWidth="1"/>
    <col min="2051" max="2051" width="7" style="164" bestFit="1" customWidth="1"/>
    <col min="2052" max="2063" width="5.6640625" style="164" customWidth="1"/>
    <col min="2064" max="2064" width="7.6640625" style="164" customWidth="1"/>
    <col min="2065" max="2304" width="9.109375" style="164"/>
    <col min="2305" max="2305" width="18.77734375" style="164" customWidth="1"/>
    <col min="2306" max="2306" width="5.6640625" style="164" customWidth="1"/>
    <col min="2307" max="2307" width="7" style="164" bestFit="1" customWidth="1"/>
    <col min="2308" max="2319" width="5.6640625" style="164" customWidth="1"/>
    <col min="2320" max="2320" width="7.6640625" style="164" customWidth="1"/>
    <col min="2321" max="2560" width="9.109375" style="164"/>
    <col min="2561" max="2561" width="18.77734375" style="164" customWidth="1"/>
    <col min="2562" max="2562" width="5.6640625" style="164" customWidth="1"/>
    <col min="2563" max="2563" width="7" style="164" bestFit="1" customWidth="1"/>
    <col min="2564" max="2575" width="5.6640625" style="164" customWidth="1"/>
    <col min="2576" max="2576" width="7.6640625" style="164" customWidth="1"/>
    <col min="2577" max="2816" width="9.109375" style="164"/>
    <col min="2817" max="2817" width="18.77734375" style="164" customWidth="1"/>
    <col min="2818" max="2818" width="5.6640625" style="164" customWidth="1"/>
    <col min="2819" max="2819" width="7" style="164" bestFit="1" customWidth="1"/>
    <col min="2820" max="2831" width="5.6640625" style="164" customWidth="1"/>
    <col min="2832" max="2832" width="7.6640625" style="164" customWidth="1"/>
    <col min="2833" max="3072" width="9.109375" style="164"/>
    <col min="3073" max="3073" width="18.77734375" style="164" customWidth="1"/>
    <col min="3074" max="3074" width="5.6640625" style="164" customWidth="1"/>
    <col min="3075" max="3075" width="7" style="164" bestFit="1" customWidth="1"/>
    <col min="3076" max="3087" width="5.6640625" style="164" customWidth="1"/>
    <col min="3088" max="3088" width="7.6640625" style="164" customWidth="1"/>
    <col min="3089" max="3328" width="9.109375" style="164"/>
    <col min="3329" max="3329" width="18.77734375" style="164" customWidth="1"/>
    <col min="3330" max="3330" width="5.6640625" style="164" customWidth="1"/>
    <col min="3331" max="3331" width="7" style="164" bestFit="1" customWidth="1"/>
    <col min="3332" max="3343" width="5.6640625" style="164" customWidth="1"/>
    <col min="3344" max="3344" width="7.6640625" style="164" customWidth="1"/>
    <col min="3345" max="3584" width="9.109375" style="164"/>
    <col min="3585" max="3585" width="18.77734375" style="164" customWidth="1"/>
    <col min="3586" max="3586" width="5.6640625" style="164" customWidth="1"/>
    <col min="3587" max="3587" width="7" style="164" bestFit="1" customWidth="1"/>
    <col min="3588" max="3599" width="5.6640625" style="164" customWidth="1"/>
    <col min="3600" max="3600" width="7.6640625" style="164" customWidth="1"/>
    <col min="3601" max="3840" width="9.109375" style="164"/>
    <col min="3841" max="3841" width="18.77734375" style="164" customWidth="1"/>
    <col min="3842" max="3842" width="5.6640625" style="164" customWidth="1"/>
    <col min="3843" max="3843" width="7" style="164" bestFit="1" customWidth="1"/>
    <col min="3844" max="3855" width="5.6640625" style="164" customWidth="1"/>
    <col min="3856" max="3856" width="7.6640625" style="164" customWidth="1"/>
    <col min="3857" max="4096" width="9.109375" style="164"/>
    <col min="4097" max="4097" width="18.77734375" style="164" customWidth="1"/>
    <col min="4098" max="4098" width="5.6640625" style="164" customWidth="1"/>
    <col min="4099" max="4099" width="7" style="164" bestFit="1" customWidth="1"/>
    <col min="4100" max="4111" width="5.6640625" style="164" customWidth="1"/>
    <col min="4112" max="4112" width="7.6640625" style="164" customWidth="1"/>
    <col min="4113" max="4352" width="9.109375" style="164"/>
    <col min="4353" max="4353" width="18.77734375" style="164" customWidth="1"/>
    <col min="4354" max="4354" width="5.6640625" style="164" customWidth="1"/>
    <col min="4355" max="4355" width="7" style="164" bestFit="1" customWidth="1"/>
    <col min="4356" max="4367" width="5.6640625" style="164" customWidth="1"/>
    <col min="4368" max="4368" width="7.6640625" style="164" customWidth="1"/>
    <col min="4369" max="4608" width="9.109375" style="164"/>
    <col min="4609" max="4609" width="18.77734375" style="164" customWidth="1"/>
    <col min="4610" max="4610" width="5.6640625" style="164" customWidth="1"/>
    <col min="4611" max="4611" width="7" style="164" bestFit="1" customWidth="1"/>
    <col min="4612" max="4623" width="5.6640625" style="164" customWidth="1"/>
    <col min="4624" max="4624" width="7.6640625" style="164" customWidth="1"/>
    <col min="4625" max="4864" width="9.109375" style="164"/>
    <col min="4865" max="4865" width="18.77734375" style="164" customWidth="1"/>
    <col min="4866" max="4866" width="5.6640625" style="164" customWidth="1"/>
    <col min="4867" max="4867" width="7" style="164" bestFit="1" customWidth="1"/>
    <col min="4868" max="4879" width="5.6640625" style="164" customWidth="1"/>
    <col min="4880" max="4880" width="7.6640625" style="164" customWidth="1"/>
    <col min="4881" max="5120" width="9.109375" style="164"/>
    <col min="5121" max="5121" width="18.77734375" style="164" customWidth="1"/>
    <col min="5122" max="5122" width="5.6640625" style="164" customWidth="1"/>
    <col min="5123" max="5123" width="7" style="164" bestFit="1" customWidth="1"/>
    <col min="5124" max="5135" width="5.6640625" style="164" customWidth="1"/>
    <col min="5136" max="5136" width="7.6640625" style="164" customWidth="1"/>
    <col min="5137" max="5376" width="9.109375" style="164"/>
    <col min="5377" max="5377" width="18.77734375" style="164" customWidth="1"/>
    <col min="5378" max="5378" width="5.6640625" style="164" customWidth="1"/>
    <col min="5379" max="5379" width="7" style="164" bestFit="1" customWidth="1"/>
    <col min="5380" max="5391" width="5.6640625" style="164" customWidth="1"/>
    <col min="5392" max="5392" width="7.6640625" style="164" customWidth="1"/>
    <col min="5393" max="5632" width="9.109375" style="164"/>
    <col min="5633" max="5633" width="18.77734375" style="164" customWidth="1"/>
    <col min="5634" max="5634" width="5.6640625" style="164" customWidth="1"/>
    <col min="5635" max="5635" width="7" style="164" bestFit="1" customWidth="1"/>
    <col min="5636" max="5647" width="5.6640625" style="164" customWidth="1"/>
    <col min="5648" max="5648" width="7.6640625" style="164" customWidth="1"/>
    <col min="5649" max="5888" width="9.109375" style="164"/>
    <col min="5889" max="5889" width="18.77734375" style="164" customWidth="1"/>
    <col min="5890" max="5890" width="5.6640625" style="164" customWidth="1"/>
    <col min="5891" max="5891" width="7" style="164" bestFit="1" customWidth="1"/>
    <col min="5892" max="5903" width="5.6640625" style="164" customWidth="1"/>
    <col min="5904" max="5904" width="7.6640625" style="164" customWidth="1"/>
    <col min="5905" max="6144" width="9.109375" style="164"/>
    <col min="6145" max="6145" width="18.77734375" style="164" customWidth="1"/>
    <col min="6146" max="6146" width="5.6640625" style="164" customWidth="1"/>
    <col min="6147" max="6147" width="7" style="164" bestFit="1" customWidth="1"/>
    <col min="6148" max="6159" width="5.6640625" style="164" customWidth="1"/>
    <col min="6160" max="6160" width="7.6640625" style="164" customWidth="1"/>
    <col min="6161" max="6400" width="9.109375" style="164"/>
    <col min="6401" max="6401" width="18.77734375" style="164" customWidth="1"/>
    <col min="6402" max="6402" width="5.6640625" style="164" customWidth="1"/>
    <col min="6403" max="6403" width="7" style="164" bestFit="1" customWidth="1"/>
    <col min="6404" max="6415" width="5.6640625" style="164" customWidth="1"/>
    <col min="6416" max="6416" width="7.6640625" style="164" customWidth="1"/>
    <col min="6417" max="6656" width="9.109375" style="164"/>
    <col min="6657" max="6657" width="18.77734375" style="164" customWidth="1"/>
    <col min="6658" max="6658" width="5.6640625" style="164" customWidth="1"/>
    <col min="6659" max="6659" width="7" style="164" bestFit="1" customWidth="1"/>
    <col min="6660" max="6671" width="5.6640625" style="164" customWidth="1"/>
    <col min="6672" max="6672" width="7.6640625" style="164" customWidth="1"/>
    <col min="6673" max="6912" width="9.109375" style="164"/>
    <col min="6913" max="6913" width="18.77734375" style="164" customWidth="1"/>
    <col min="6914" max="6914" width="5.6640625" style="164" customWidth="1"/>
    <col min="6915" max="6915" width="7" style="164" bestFit="1" customWidth="1"/>
    <col min="6916" max="6927" width="5.6640625" style="164" customWidth="1"/>
    <col min="6928" max="6928" width="7.6640625" style="164" customWidth="1"/>
    <col min="6929" max="7168" width="9.109375" style="164"/>
    <col min="7169" max="7169" width="18.77734375" style="164" customWidth="1"/>
    <col min="7170" max="7170" width="5.6640625" style="164" customWidth="1"/>
    <col min="7171" max="7171" width="7" style="164" bestFit="1" customWidth="1"/>
    <col min="7172" max="7183" width="5.6640625" style="164" customWidth="1"/>
    <col min="7184" max="7184" width="7.6640625" style="164" customWidth="1"/>
    <col min="7185" max="7424" width="9.109375" style="164"/>
    <col min="7425" max="7425" width="18.77734375" style="164" customWidth="1"/>
    <col min="7426" max="7426" width="5.6640625" style="164" customWidth="1"/>
    <col min="7427" max="7427" width="7" style="164" bestFit="1" customWidth="1"/>
    <col min="7428" max="7439" width="5.6640625" style="164" customWidth="1"/>
    <col min="7440" max="7440" width="7.6640625" style="164" customWidth="1"/>
    <col min="7441" max="7680" width="9.109375" style="164"/>
    <col min="7681" max="7681" width="18.77734375" style="164" customWidth="1"/>
    <col min="7682" max="7682" width="5.6640625" style="164" customWidth="1"/>
    <col min="7683" max="7683" width="7" style="164" bestFit="1" customWidth="1"/>
    <col min="7684" max="7695" width="5.6640625" style="164" customWidth="1"/>
    <col min="7696" max="7696" width="7.6640625" style="164" customWidth="1"/>
    <col min="7697" max="7936" width="9.109375" style="164"/>
    <col min="7937" max="7937" width="18.77734375" style="164" customWidth="1"/>
    <col min="7938" max="7938" width="5.6640625" style="164" customWidth="1"/>
    <col min="7939" max="7939" width="7" style="164" bestFit="1" customWidth="1"/>
    <col min="7940" max="7951" width="5.6640625" style="164" customWidth="1"/>
    <col min="7952" max="7952" width="7.6640625" style="164" customWidth="1"/>
    <col min="7953" max="8192" width="9.109375" style="164"/>
    <col min="8193" max="8193" width="18.77734375" style="164" customWidth="1"/>
    <col min="8194" max="8194" width="5.6640625" style="164" customWidth="1"/>
    <col min="8195" max="8195" width="7" style="164" bestFit="1" customWidth="1"/>
    <col min="8196" max="8207" width="5.6640625" style="164" customWidth="1"/>
    <col min="8208" max="8208" width="7.6640625" style="164" customWidth="1"/>
    <col min="8209" max="8448" width="9.109375" style="164"/>
    <col min="8449" max="8449" width="18.77734375" style="164" customWidth="1"/>
    <col min="8450" max="8450" width="5.6640625" style="164" customWidth="1"/>
    <col min="8451" max="8451" width="7" style="164" bestFit="1" customWidth="1"/>
    <col min="8452" max="8463" width="5.6640625" style="164" customWidth="1"/>
    <col min="8464" max="8464" width="7.6640625" style="164" customWidth="1"/>
    <col min="8465" max="8704" width="9.109375" style="164"/>
    <col min="8705" max="8705" width="18.77734375" style="164" customWidth="1"/>
    <col min="8706" max="8706" width="5.6640625" style="164" customWidth="1"/>
    <col min="8707" max="8707" width="7" style="164" bestFit="1" customWidth="1"/>
    <col min="8708" max="8719" width="5.6640625" style="164" customWidth="1"/>
    <col min="8720" max="8720" width="7.6640625" style="164" customWidth="1"/>
    <col min="8721" max="8960" width="9.109375" style="164"/>
    <col min="8961" max="8961" width="18.77734375" style="164" customWidth="1"/>
    <col min="8962" max="8962" width="5.6640625" style="164" customWidth="1"/>
    <col min="8963" max="8963" width="7" style="164" bestFit="1" customWidth="1"/>
    <col min="8964" max="8975" width="5.6640625" style="164" customWidth="1"/>
    <col min="8976" max="8976" width="7.6640625" style="164" customWidth="1"/>
    <col min="8977" max="9216" width="9.109375" style="164"/>
    <col min="9217" max="9217" width="18.77734375" style="164" customWidth="1"/>
    <col min="9218" max="9218" width="5.6640625" style="164" customWidth="1"/>
    <col min="9219" max="9219" width="7" style="164" bestFit="1" customWidth="1"/>
    <col min="9220" max="9231" width="5.6640625" style="164" customWidth="1"/>
    <col min="9232" max="9232" width="7.6640625" style="164" customWidth="1"/>
    <col min="9233" max="9472" width="9.109375" style="164"/>
    <col min="9473" max="9473" width="18.77734375" style="164" customWidth="1"/>
    <col min="9474" max="9474" width="5.6640625" style="164" customWidth="1"/>
    <col min="9475" max="9475" width="7" style="164" bestFit="1" customWidth="1"/>
    <col min="9476" max="9487" width="5.6640625" style="164" customWidth="1"/>
    <col min="9488" max="9488" width="7.6640625" style="164" customWidth="1"/>
    <col min="9489" max="9728" width="9.109375" style="164"/>
    <col min="9729" max="9729" width="18.77734375" style="164" customWidth="1"/>
    <col min="9730" max="9730" width="5.6640625" style="164" customWidth="1"/>
    <col min="9731" max="9731" width="7" style="164" bestFit="1" customWidth="1"/>
    <col min="9732" max="9743" width="5.6640625" style="164" customWidth="1"/>
    <col min="9744" max="9744" width="7.6640625" style="164" customWidth="1"/>
    <col min="9745" max="9984" width="9.109375" style="164"/>
    <col min="9985" max="9985" width="18.77734375" style="164" customWidth="1"/>
    <col min="9986" max="9986" width="5.6640625" style="164" customWidth="1"/>
    <col min="9987" max="9987" width="7" style="164" bestFit="1" customWidth="1"/>
    <col min="9988" max="9999" width="5.6640625" style="164" customWidth="1"/>
    <col min="10000" max="10000" width="7.6640625" style="164" customWidth="1"/>
    <col min="10001" max="10240" width="9.109375" style="164"/>
    <col min="10241" max="10241" width="18.77734375" style="164" customWidth="1"/>
    <col min="10242" max="10242" width="5.6640625" style="164" customWidth="1"/>
    <col min="10243" max="10243" width="7" style="164" bestFit="1" customWidth="1"/>
    <col min="10244" max="10255" width="5.6640625" style="164" customWidth="1"/>
    <col min="10256" max="10256" width="7.6640625" style="164" customWidth="1"/>
    <col min="10257" max="10496" width="9.109375" style="164"/>
    <col min="10497" max="10497" width="18.77734375" style="164" customWidth="1"/>
    <col min="10498" max="10498" width="5.6640625" style="164" customWidth="1"/>
    <col min="10499" max="10499" width="7" style="164" bestFit="1" customWidth="1"/>
    <col min="10500" max="10511" width="5.6640625" style="164" customWidth="1"/>
    <col min="10512" max="10512" width="7.6640625" style="164" customWidth="1"/>
    <col min="10513" max="10752" width="9.109375" style="164"/>
    <col min="10753" max="10753" width="18.77734375" style="164" customWidth="1"/>
    <col min="10754" max="10754" width="5.6640625" style="164" customWidth="1"/>
    <col min="10755" max="10755" width="7" style="164" bestFit="1" customWidth="1"/>
    <col min="10756" max="10767" width="5.6640625" style="164" customWidth="1"/>
    <col min="10768" max="10768" width="7.6640625" style="164" customWidth="1"/>
    <col min="10769" max="11008" width="9.109375" style="164"/>
    <col min="11009" max="11009" width="18.77734375" style="164" customWidth="1"/>
    <col min="11010" max="11010" width="5.6640625" style="164" customWidth="1"/>
    <col min="11011" max="11011" width="7" style="164" bestFit="1" customWidth="1"/>
    <col min="11012" max="11023" width="5.6640625" style="164" customWidth="1"/>
    <col min="11024" max="11024" width="7.6640625" style="164" customWidth="1"/>
    <col min="11025" max="11264" width="9.109375" style="164"/>
    <col min="11265" max="11265" width="18.77734375" style="164" customWidth="1"/>
    <col min="11266" max="11266" width="5.6640625" style="164" customWidth="1"/>
    <col min="11267" max="11267" width="7" style="164" bestFit="1" customWidth="1"/>
    <col min="11268" max="11279" width="5.6640625" style="164" customWidth="1"/>
    <col min="11280" max="11280" width="7.6640625" style="164" customWidth="1"/>
    <col min="11281" max="11520" width="9.109375" style="164"/>
    <col min="11521" max="11521" width="18.77734375" style="164" customWidth="1"/>
    <col min="11522" max="11522" width="5.6640625" style="164" customWidth="1"/>
    <col min="11523" max="11523" width="7" style="164" bestFit="1" customWidth="1"/>
    <col min="11524" max="11535" width="5.6640625" style="164" customWidth="1"/>
    <col min="11536" max="11536" width="7.6640625" style="164" customWidth="1"/>
    <col min="11537" max="11776" width="9.109375" style="164"/>
    <col min="11777" max="11777" width="18.77734375" style="164" customWidth="1"/>
    <col min="11778" max="11778" width="5.6640625" style="164" customWidth="1"/>
    <col min="11779" max="11779" width="7" style="164" bestFit="1" customWidth="1"/>
    <col min="11780" max="11791" width="5.6640625" style="164" customWidth="1"/>
    <col min="11792" max="11792" width="7.6640625" style="164" customWidth="1"/>
    <col min="11793" max="12032" width="9.109375" style="164"/>
    <col min="12033" max="12033" width="18.77734375" style="164" customWidth="1"/>
    <col min="12034" max="12034" width="5.6640625" style="164" customWidth="1"/>
    <col min="12035" max="12035" width="7" style="164" bestFit="1" customWidth="1"/>
    <col min="12036" max="12047" width="5.6640625" style="164" customWidth="1"/>
    <col min="12048" max="12048" width="7.6640625" style="164" customWidth="1"/>
    <col min="12049" max="12288" width="9.109375" style="164"/>
    <col min="12289" max="12289" width="18.77734375" style="164" customWidth="1"/>
    <col min="12290" max="12290" width="5.6640625" style="164" customWidth="1"/>
    <col min="12291" max="12291" width="7" style="164" bestFit="1" customWidth="1"/>
    <col min="12292" max="12303" width="5.6640625" style="164" customWidth="1"/>
    <col min="12304" max="12304" width="7.6640625" style="164" customWidth="1"/>
    <col min="12305" max="12544" width="9.109375" style="164"/>
    <col min="12545" max="12545" width="18.77734375" style="164" customWidth="1"/>
    <col min="12546" max="12546" width="5.6640625" style="164" customWidth="1"/>
    <col min="12547" max="12547" width="7" style="164" bestFit="1" customWidth="1"/>
    <col min="12548" max="12559" width="5.6640625" style="164" customWidth="1"/>
    <col min="12560" max="12560" width="7.6640625" style="164" customWidth="1"/>
    <col min="12561" max="12800" width="9.109375" style="164"/>
    <col min="12801" max="12801" width="18.77734375" style="164" customWidth="1"/>
    <col min="12802" max="12802" width="5.6640625" style="164" customWidth="1"/>
    <col min="12803" max="12803" width="7" style="164" bestFit="1" customWidth="1"/>
    <col min="12804" max="12815" width="5.6640625" style="164" customWidth="1"/>
    <col min="12816" max="12816" width="7.6640625" style="164" customWidth="1"/>
    <col min="12817" max="13056" width="9.109375" style="164"/>
    <col min="13057" max="13057" width="18.77734375" style="164" customWidth="1"/>
    <col min="13058" max="13058" width="5.6640625" style="164" customWidth="1"/>
    <col min="13059" max="13059" width="7" style="164" bestFit="1" customWidth="1"/>
    <col min="13060" max="13071" width="5.6640625" style="164" customWidth="1"/>
    <col min="13072" max="13072" width="7.6640625" style="164" customWidth="1"/>
    <col min="13073" max="13312" width="9.109375" style="164"/>
    <col min="13313" max="13313" width="18.77734375" style="164" customWidth="1"/>
    <col min="13314" max="13314" width="5.6640625" style="164" customWidth="1"/>
    <col min="13315" max="13315" width="7" style="164" bestFit="1" customWidth="1"/>
    <col min="13316" max="13327" width="5.6640625" style="164" customWidth="1"/>
    <col min="13328" max="13328" width="7.6640625" style="164" customWidth="1"/>
    <col min="13329" max="13568" width="9.109375" style="164"/>
    <col min="13569" max="13569" width="18.77734375" style="164" customWidth="1"/>
    <col min="13570" max="13570" width="5.6640625" style="164" customWidth="1"/>
    <col min="13571" max="13571" width="7" style="164" bestFit="1" customWidth="1"/>
    <col min="13572" max="13583" width="5.6640625" style="164" customWidth="1"/>
    <col min="13584" max="13584" width="7.6640625" style="164" customWidth="1"/>
    <col min="13585" max="13824" width="9.109375" style="164"/>
    <col min="13825" max="13825" width="18.77734375" style="164" customWidth="1"/>
    <col min="13826" max="13826" width="5.6640625" style="164" customWidth="1"/>
    <col min="13827" max="13827" width="7" style="164" bestFit="1" customWidth="1"/>
    <col min="13828" max="13839" width="5.6640625" style="164" customWidth="1"/>
    <col min="13840" max="13840" width="7.6640625" style="164" customWidth="1"/>
    <col min="13841" max="14080" width="9.109375" style="164"/>
    <col min="14081" max="14081" width="18.77734375" style="164" customWidth="1"/>
    <col min="14082" max="14082" width="5.6640625" style="164" customWidth="1"/>
    <col min="14083" max="14083" width="7" style="164" bestFit="1" customWidth="1"/>
    <col min="14084" max="14095" width="5.6640625" style="164" customWidth="1"/>
    <col min="14096" max="14096" width="7.6640625" style="164" customWidth="1"/>
    <col min="14097" max="14336" width="9.109375" style="164"/>
    <col min="14337" max="14337" width="18.77734375" style="164" customWidth="1"/>
    <col min="14338" max="14338" width="5.6640625" style="164" customWidth="1"/>
    <col min="14339" max="14339" width="7" style="164" bestFit="1" customWidth="1"/>
    <col min="14340" max="14351" width="5.6640625" style="164" customWidth="1"/>
    <col min="14352" max="14352" width="7.6640625" style="164" customWidth="1"/>
    <col min="14353" max="14592" width="9.109375" style="164"/>
    <col min="14593" max="14593" width="18.77734375" style="164" customWidth="1"/>
    <col min="14594" max="14594" width="5.6640625" style="164" customWidth="1"/>
    <col min="14595" max="14595" width="7" style="164" bestFit="1" customWidth="1"/>
    <col min="14596" max="14607" width="5.6640625" style="164" customWidth="1"/>
    <col min="14608" max="14608" width="7.6640625" style="164" customWidth="1"/>
    <col min="14609" max="14848" width="9.109375" style="164"/>
    <col min="14849" max="14849" width="18.77734375" style="164" customWidth="1"/>
    <col min="14850" max="14850" width="5.6640625" style="164" customWidth="1"/>
    <col min="14851" max="14851" width="7" style="164" bestFit="1" customWidth="1"/>
    <col min="14852" max="14863" width="5.6640625" style="164" customWidth="1"/>
    <col min="14864" max="14864" width="7.6640625" style="164" customWidth="1"/>
    <col min="14865" max="15104" width="9.109375" style="164"/>
    <col min="15105" max="15105" width="18.77734375" style="164" customWidth="1"/>
    <col min="15106" max="15106" width="5.6640625" style="164" customWidth="1"/>
    <col min="15107" max="15107" width="7" style="164" bestFit="1" customWidth="1"/>
    <col min="15108" max="15119" width="5.6640625" style="164" customWidth="1"/>
    <col min="15120" max="15120" width="7.6640625" style="164" customWidth="1"/>
    <col min="15121" max="15360" width="9.109375" style="164"/>
    <col min="15361" max="15361" width="18.77734375" style="164" customWidth="1"/>
    <col min="15362" max="15362" width="5.6640625" style="164" customWidth="1"/>
    <col min="15363" max="15363" width="7" style="164" bestFit="1" customWidth="1"/>
    <col min="15364" max="15375" width="5.6640625" style="164" customWidth="1"/>
    <col min="15376" max="15376" width="7.6640625" style="164" customWidth="1"/>
    <col min="15377" max="15616" width="9.109375" style="164"/>
    <col min="15617" max="15617" width="18.77734375" style="164" customWidth="1"/>
    <col min="15618" max="15618" width="5.6640625" style="164" customWidth="1"/>
    <col min="15619" max="15619" width="7" style="164" bestFit="1" customWidth="1"/>
    <col min="15620" max="15631" width="5.6640625" style="164" customWidth="1"/>
    <col min="15632" max="15632" width="7.6640625" style="164" customWidth="1"/>
    <col min="15633" max="15872" width="9.109375" style="164"/>
    <col min="15873" max="15873" width="18.77734375" style="164" customWidth="1"/>
    <col min="15874" max="15874" width="5.6640625" style="164" customWidth="1"/>
    <col min="15875" max="15875" width="7" style="164" bestFit="1" customWidth="1"/>
    <col min="15876" max="15887" width="5.6640625" style="164" customWidth="1"/>
    <col min="15888" max="15888" width="7.6640625" style="164" customWidth="1"/>
    <col min="15889" max="16128" width="9.109375" style="164"/>
    <col min="16129" max="16129" width="18.77734375" style="164" customWidth="1"/>
    <col min="16130" max="16130" width="5.6640625" style="164" customWidth="1"/>
    <col min="16131" max="16131" width="7" style="164" bestFit="1" customWidth="1"/>
    <col min="16132" max="16143" width="5.6640625" style="164" customWidth="1"/>
    <col min="16144" max="16144" width="7.6640625" style="164" customWidth="1"/>
    <col min="16145" max="16384" width="9.109375" style="164"/>
  </cols>
  <sheetData>
    <row r="1" spans="1:14" s="136" customFormat="1" ht="90.75" customHeight="1" x14ac:dyDescent="0.25"/>
    <row r="2" spans="1:14" s="136" customFormat="1" ht="21" x14ac:dyDescent="0.4">
      <c r="A2" s="98" t="s">
        <v>86</v>
      </c>
    </row>
    <row r="3" spans="1:14" s="136" customFormat="1" ht="15" x14ac:dyDescent="0.25">
      <c r="A3" s="99" t="s">
        <v>75</v>
      </c>
    </row>
    <row r="4" spans="1:14" s="136" customFormat="1" ht="15" x14ac:dyDescent="0.25">
      <c r="A4" s="99"/>
    </row>
    <row r="5" spans="1:14" s="136" customFormat="1" ht="15.6" x14ac:dyDescent="0.3">
      <c r="A5" s="137" t="s">
        <v>76</v>
      </c>
    </row>
    <row r="6" spans="1:14" s="136" customFormat="1" x14ac:dyDescent="0.25">
      <c r="A6" s="138">
        <v>43101</v>
      </c>
    </row>
    <row r="7" spans="1:14" s="136" customFormat="1" ht="13.5" customHeight="1" x14ac:dyDescent="0.25"/>
    <row r="8" spans="1:14" s="139" customFormat="1" ht="41.25" customHeight="1" x14ac:dyDescent="0.25">
      <c r="B8" s="140">
        <f>A6</f>
        <v>43101</v>
      </c>
      <c r="C8" s="141">
        <f>DATE(YEAR(A6),MONTH(A6)+1,1)</f>
        <v>43132</v>
      </c>
      <c r="D8" s="141">
        <f t="shared" ref="D8:M8" si="0">DATE(YEAR(C8),MONTH(C8)+1,1)</f>
        <v>43160</v>
      </c>
      <c r="E8" s="141">
        <f t="shared" si="0"/>
        <v>43191</v>
      </c>
      <c r="F8" s="141">
        <f t="shared" si="0"/>
        <v>43221</v>
      </c>
      <c r="G8" s="141">
        <f t="shared" si="0"/>
        <v>43252</v>
      </c>
      <c r="H8" s="141">
        <f t="shared" si="0"/>
        <v>43282</v>
      </c>
      <c r="I8" s="141">
        <f t="shared" si="0"/>
        <v>43313</v>
      </c>
      <c r="J8" s="141">
        <f t="shared" si="0"/>
        <v>43344</v>
      </c>
      <c r="K8" s="141">
        <f t="shared" si="0"/>
        <v>43374</v>
      </c>
      <c r="L8" s="141">
        <f t="shared" si="0"/>
        <v>43405</v>
      </c>
      <c r="M8" s="141">
        <f t="shared" si="0"/>
        <v>43435</v>
      </c>
      <c r="N8" s="142" t="s">
        <v>87</v>
      </c>
    </row>
    <row r="9" spans="1:14" s="145" customFormat="1" ht="12" x14ac:dyDescent="0.25">
      <c r="A9" s="143" t="s">
        <v>88</v>
      </c>
      <c r="B9" s="144"/>
      <c r="C9" s="144"/>
      <c r="D9" s="144"/>
      <c r="E9" s="144"/>
      <c r="F9" s="144"/>
      <c r="G9" s="144"/>
      <c r="H9" s="144"/>
      <c r="I9" s="144"/>
      <c r="J9" s="144"/>
      <c r="K9" s="144"/>
      <c r="L9" s="144"/>
      <c r="M9" s="144"/>
      <c r="N9" s="144"/>
    </row>
    <row r="10" spans="1:14" s="145" customFormat="1" ht="11.4" x14ac:dyDescent="0.2">
      <c r="A10" s="146" t="s">
        <v>89</v>
      </c>
      <c r="B10" s="147">
        <v>762.5</v>
      </c>
      <c r="C10" s="147">
        <v>762.5</v>
      </c>
      <c r="D10" s="147">
        <v>762.5</v>
      </c>
      <c r="E10" s="147">
        <v>762.5</v>
      </c>
      <c r="F10" s="147">
        <v>762.5</v>
      </c>
      <c r="G10" s="147">
        <v>762.5</v>
      </c>
      <c r="H10" s="147">
        <v>762.5</v>
      </c>
      <c r="I10" s="147">
        <v>762.5</v>
      </c>
      <c r="J10" s="147">
        <v>762.5</v>
      </c>
      <c r="K10" s="147">
        <v>762.5</v>
      </c>
      <c r="L10" s="147">
        <v>762.5</v>
      </c>
      <c r="M10" s="147">
        <v>762.5</v>
      </c>
      <c r="N10" s="147">
        <f>SUM(B10:M10)</f>
        <v>9150</v>
      </c>
    </row>
    <row r="11" spans="1:14" s="145" customFormat="1" ht="11.4" x14ac:dyDescent="0.2">
      <c r="A11" s="148" t="s">
        <v>90</v>
      </c>
      <c r="B11" s="149">
        <v>178</v>
      </c>
      <c r="C11" s="149">
        <v>178</v>
      </c>
      <c r="D11" s="149">
        <v>178</v>
      </c>
      <c r="E11" s="149">
        <v>178</v>
      </c>
      <c r="F11" s="149">
        <v>178</v>
      </c>
      <c r="G11" s="149">
        <v>178</v>
      </c>
      <c r="H11" s="149">
        <v>178</v>
      </c>
      <c r="I11" s="149">
        <v>178</v>
      </c>
      <c r="J11" s="149">
        <v>178</v>
      </c>
      <c r="K11" s="149">
        <v>178</v>
      </c>
      <c r="L11" s="149">
        <v>178</v>
      </c>
      <c r="M11" s="149">
        <v>178</v>
      </c>
      <c r="N11" s="147">
        <f>SUM(B11:M11)</f>
        <v>2136</v>
      </c>
    </row>
    <row r="12" spans="1:14" s="145" customFormat="1" ht="11.4" x14ac:dyDescent="0.2">
      <c r="A12" s="148" t="s">
        <v>91</v>
      </c>
      <c r="B12" s="149"/>
      <c r="C12" s="149"/>
      <c r="D12" s="147"/>
      <c r="E12" s="149"/>
      <c r="F12" s="149"/>
      <c r="G12" s="149"/>
      <c r="H12" s="149"/>
      <c r="I12" s="149"/>
      <c r="J12" s="149"/>
      <c r="K12" s="149"/>
      <c r="L12" s="149"/>
      <c r="M12" s="149"/>
      <c r="N12" s="147">
        <f t="shared" ref="N11:N17" si="1">SUM(B12:M12)</f>
        <v>0</v>
      </c>
    </row>
    <row r="13" spans="1:14" s="145" customFormat="1" ht="11.4" x14ac:dyDescent="0.2">
      <c r="A13" s="148" t="s">
        <v>92</v>
      </c>
      <c r="B13" s="149"/>
      <c r="C13" s="149"/>
      <c r="D13" s="147"/>
      <c r="E13" s="149"/>
      <c r="F13" s="149"/>
      <c r="G13" s="149"/>
      <c r="H13" s="149"/>
      <c r="I13" s="149"/>
      <c r="J13" s="149"/>
      <c r="K13" s="149"/>
      <c r="L13" s="149"/>
      <c r="M13" s="149"/>
      <c r="N13" s="147">
        <f t="shared" si="1"/>
        <v>0</v>
      </c>
    </row>
    <row r="14" spans="1:14" s="145" customFormat="1" ht="11.4" x14ac:dyDescent="0.2">
      <c r="A14" s="148" t="s">
        <v>93</v>
      </c>
      <c r="B14" s="149"/>
      <c r="C14" s="149"/>
      <c r="D14" s="147"/>
      <c r="E14" s="149"/>
      <c r="F14" s="149"/>
      <c r="G14" s="149"/>
      <c r="H14" s="149"/>
      <c r="I14" s="149"/>
      <c r="J14" s="149"/>
      <c r="K14" s="149"/>
      <c r="L14" s="149"/>
      <c r="M14" s="149"/>
      <c r="N14" s="147">
        <f t="shared" si="1"/>
        <v>0</v>
      </c>
    </row>
    <row r="15" spans="1:14" s="145" customFormat="1" ht="11.4" x14ac:dyDescent="0.2">
      <c r="A15" s="148" t="s">
        <v>94</v>
      </c>
      <c r="B15" s="149"/>
      <c r="C15" s="149"/>
      <c r="D15" s="147"/>
      <c r="E15" s="149"/>
      <c r="F15" s="149"/>
      <c r="G15" s="149"/>
      <c r="H15" s="149"/>
      <c r="I15" s="149"/>
      <c r="J15" s="149"/>
      <c r="K15" s="149"/>
      <c r="L15" s="149"/>
      <c r="M15" s="149"/>
      <c r="N15" s="147">
        <f t="shared" si="1"/>
        <v>0</v>
      </c>
    </row>
    <row r="16" spans="1:14" s="145" customFormat="1" ht="11.4" x14ac:dyDescent="0.2">
      <c r="A16" s="148" t="s">
        <v>95</v>
      </c>
      <c r="B16" s="149"/>
      <c r="C16" s="149"/>
      <c r="D16" s="147"/>
      <c r="E16" s="149"/>
      <c r="F16" s="149"/>
      <c r="G16" s="149"/>
      <c r="H16" s="149"/>
      <c r="I16" s="149"/>
      <c r="J16" s="149"/>
      <c r="K16" s="149"/>
      <c r="L16" s="149"/>
      <c r="M16" s="149"/>
      <c r="N16" s="147">
        <f t="shared" si="1"/>
        <v>0</v>
      </c>
    </row>
    <row r="17" spans="1:15" s="145" customFormat="1" ht="12" x14ac:dyDescent="0.25">
      <c r="A17" s="150" t="s">
        <v>96</v>
      </c>
      <c r="B17" s="151">
        <f t="shared" ref="B17:M17" si="2">SUM(B10:B16)</f>
        <v>940.5</v>
      </c>
      <c r="C17" s="151">
        <f t="shared" si="2"/>
        <v>940.5</v>
      </c>
      <c r="D17" s="151">
        <f t="shared" si="2"/>
        <v>940.5</v>
      </c>
      <c r="E17" s="151">
        <f t="shared" si="2"/>
        <v>940.5</v>
      </c>
      <c r="F17" s="151">
        <f t="shared" si="2"/>
        <v>940.5</v>
      </c>
      <c r="G17" s="151">
        <f t="shared" si="2"/>
        <v>940.5</v>
      </c>
      <c r="H17" s="151">
        <f t="shared" si="2"/>
        <v>940.5</v>
      </c>
      <c r="I17" s="151">
        <f t="shared" si="2"/>
        <v>940.5</v>
      </c>
      <c r="J17" s="151">
        <f t="shared" si="2"/>
        <v>940.5</v>
      </c>
      <c r="K17" s="151">
        <f t="shared" si="2"/>
        <v>940.5</v>
      </c>
      <c r="L17" s="151">
        <f t="shared" si="2"/>
        <v>940.5</v>
      </c>
      <c r="M17" s="151">
        <f t="shared" si="2"/>
        <v>940.5</v>
      </c>
      <c r="N17" s="147">
        <f t="shared" si="1"/>
        <v>11286</v>
      </c>
    </row>
    <row r="18" spans="1:15" s="145" customFormat="1" ht="8.25" customHeight="1" x14ac:dyDescent="0.2">
      <c r="A18" s="152"/>
      <c r="B18" s="153"/>
      <c r="C18" s="153"/>
      <c r="D18" s="153"/>
      <c r="E18" s="153"/>
      <c r="F18" s="153"/>
      <c r="G18" s="153"/>
      <c r="H18" s="153"/>
      <c r="I18" s="153"/>
      <c r="J18" s="153"/>
      <c r="K18" s="153"/>
      <c r="L18" s="153"/>
      <c r="M18" s="153"/>
      <c r="N18" s="153"/>
    </row>
    <row r="19" spans="1:15" s="145" customFormat="1" ht="12" x14ac:dyDescent="0.25">
      <c r="A19" s="143" t="s">
        <v>97</v>
      </c>
      <c r="B19" s="144"/>
      <c r="C19" s="144"/>
      <c r="D19" s="144"/>
      <c r="E19" s="144"/>
      <c r="F19" s="144"/>
      <c r="G19" s="144"/>
      <c r="H19" s="144"/>
      <c r="I19" s="144"/>
      <c r="J19" s="144"/>
      <c r="K19" s="144"/>
      <c r="L19" s="144"/>
      <c r="M19" s="144"/>
      <c r="N19" s="144"/>
    </row>
    <row r="20" spans="1:15" s="145" customFormat="1" ht="11.4" x14ac:dyDescent="0.2">
      <c r="A20" s="146" t="s">
        <v>89</v>
      </c>
      <c r="B20" s="147">
        <v>105</v>
      </c>
      <c r="C20" s="147">
        <v>105</v>
      </c>
      <c r="D20" s="147">
        <v>105</v>
      </c>
      <c r="E20" s="147">
        <v>105</v>
      </c>
      <c r="F20" s="147">
        <v>105</v>
      </c>
      <c r="G20" s="147">
        <v>105</v>
      </c>
      <c r="H20" s="147">
        <v>105</v>
      </c>
      <c r="I20" s="147">
        <v>105</v>
      </c>
      <c r="J20" s="147">
        <v>105</v>
      </c>
      <c r="K20" s="147">
        <v>105</v>
      </c>
      <c r="L20" s="147">
        <v>105</v>
      </c>
      <c r="M20" s="147">
        <v>105</v>
      </c>
      <c r="N20" s="147">
        <f>SUM(B20:M20)</f>
        <v>1260</v>
      </c>
    </row>
    <row r="21" spans="1:15" s="145" customFormat="1" ht="11.4" x14ac:dyDescent="0.2">
      <c r="A21" s="148" t="s">
        <v>90</v>
      </c>
      <c r="B21" s="149">
        <v>94</v>
      </c>
      <c r="C21" s="149">
        <v>94</v>
      </c>
      <c r="D21" s="149">
        <v>94</v>
      </c>
      <c r="E21" s="149">
        <v>94</v>
      </c>
      <c r="F21" s="149">
        <v>94</v>
      </c>
      <c r="G21" s="149">
        <v>94</v>
      </c>
      <c r="H21" s="149">
        <v>94</v>
      </c>
      <c r="I21" s="149">
        <v>94</v>
      </c>
      <c r="J21" s="149">
        <v>94</v>
      </c>
      <c r="K21" s="149">
        <v>94</v>
      </c>
      <c r="L21" s="149">
        <v>94</v>
      </c>
      <c r="M21" s="149">
        <v>94</v>
      </c>
      <c r="N21" s="147">
        <f t="shared" ref="N21:N27" si="3">SUM(B21:M21)</f>
        <v>1128</v>
      </c>
    </row>
    <row r="22" spans="1:15" s="145" customFormat="1" ht="11.4" x14ac:dyDescent="0.2">
      <c r="A22" s="148" t="s">
        <v>91</v>
      </c>
      <c r="B22" s="149"/>
      <c r="C22" s="149"/>
      <c r="D22" s="149"/>
      <c r="E22" s="149"/>
      <c r="F22" s="149"/>
      <c r="G22" s="149"/>
      <c r="H22" s="149"/>
      <c r="I22" s="149"/>
      <c r="J22" s="149"/>
      <c r="K22" s="149"/>
      <c r="L22" s="149"/>
      <c r="M22" s="149"/>
      <c r="N22" s="147">
        <v>915</v>
      </c>
    </row>
    <row r="23" spans="1:15" s="145" customFormat="1" ht="11.4" x14ac:dyDescent="0.2">
      <c r="A23" s="148" t="s">
        <v>92</v>
      </c>
      <c r="B23" s="149"/>
      <c r="C23" s="149"/>
      <c r="D23" s="149"/>
      <c r="E23" s="149"/>
      <c r="F23" s="149"/>
      <c r="G23" s="149"/>
      <c r="H23" s="149"/>
      <c r="I23" s="149"/>
      <c r="J23" s="149"/>
      <c r="K23" s="149"/>
      <c r="L23" s="149"/>
      <c r="M23" s="149"/>
      <c r="N23" s="147">
        <f t="shared" si="3"/>
        <v>0</v>
      </c>
    </row>
    <row r="24" spans="1:15" s="145" customFormat="1" ht="11.4" x14ac:dyDescent="0.2">
      <c r="A24" s="148" t="s">
        <v>93</v>
      </c>
      <c r="B24" s="149"/>
      <c r="C24" s="149"/>
      <c r="D24" s="149"/>
      <c r="E24" s="149"/>
      <c r="F24" s="149"/>
      <c r="G24" s="149"/>
      <c r="H24" s="149"/>
      <c r="I24" s="149"/>
      <c r="J24" s="149"/>
      <c r="K24" s="149"/>
      <c r="L24" s="149"/>
      <c r="M24" s="149"/>
      <c r="N24" s="147">
        <f t="shared" si="3"/>
        <v>0</v>
      </c>
    </row>
    <row r="25" spans="1:15" s="145" customFormat="1" ht="11.4" x14ac:dyDescent="0.2">
      <c r="A25" s="148" t="s">
        <v>94</v>
      </c>
      <c r="B25" s="149"/>
      <c r="C25" s="149"/>
      <c r="D25" s="149"/>
      <c r="E25" s="149"/>
      <c r="F25" s="149"/>
      <c r="G25" s="149"/>
      <c r="H25" s="149"/>
      <c r="I25" s="149"/>
      <c r="J25" s="149"/>
      <c r="K25" s="149"/>
      <c r="L25" s="149"/>
      <c r="M25" s="149"/>
      <c r="N25" s="147">
        <f t="shared" si="3"/>
        <v>0</v>
      </c>
    </row>
    <row r="26" spans="1:15" s="145" customFormat="1" ht="11.4" x14ac:dyDescent="0.2">
      <c r="A26" s="148" t="s">
        <v>95</v>
      </c>
      <c r="B26" s="149"/>
      <c r="C26" s="149"/>
      <c r="D26" s="149"/>
      <c r="E26" s="149"/>
      <c r="F26" s="149"/>
      <c r="G26" s="149"/>
      <c r="H26" s="149"/>
      <c r="I26" s="149"/>
      <c r="J26" s="149"/>
      <c r="K26" s="149"/>
      <c r="L26" s="149"/>
      <c r="M26" s="149"/>
      <c r="N26" s="147">
        <f t="shared" si="3"/>
        <v>0</v>
      </c>
    </row>
    <row r="27" spans="1:15" s="145" customFormat="1" ht="12" x14ac:dyDescent="0.25">
      <c r="A27" s="150" t="s">
        <v>98</v>
      </c>
      <c r="B27" s="151">
        <f t="shared" ref="B27:M27" si="4">SUM(B20:B26)</f>
        <v>199</v>
      </c>
      <c r="C27" s="151">
        <f t="shared" si="4"/>
        <v>199</v>
      </c>
      <c r="D27" s="151">
        <f t="shared" si="4"/>
        <v>199</v>
      </c>
      <c r="E27" s="151">
        <f t="shared" si="4"/>
        <v>199</v>
      </c>
      <c r="F27" s="151">
        <f t="shared" si="4"/>
        <v>199</v>
      </c>
      <c r="G27" s="151">
        <f t="shared" si="4"/>
        <v>199</v>
      </c>
      <c r="H27" s="151">
        <f t="shared" si="4"/>
        <v>199</v>
      </c>
      <c r="I27" s="151">
        <f t="shared" si="4"/>
        <v>199</v>
      </c>
      <c r="J27" s="151">
        <f t="shared" si="4"/>
        <v>199</v>
      </c>
      <c r="K27" s="151">
        <f t="shared" si="4"/>
        <v>199</v>
      </c>
      <c r="L27" s="151">
        <f t="shared" si="4"/>
        <v>199</v>
      </c>
      <c r="M27" s="151">
        <f t="shared" si="4"/>
        <v>199</v>
      </c>
      <c r="N27" s="147">
        <f t="shared" si="3"/>
        <v>2388</v>
      </c>
      <c r="O27" s="154"/>
    </row>
    <row r="28" spans="1:15" s="145" customFormat="1" ht="8.25" customHeight="1" x14ac:dyDescent="0.2">
      <c r="A28" s="152"/>
      <c r="B28" s="144"/>
      <c r="C28" s="144"/>
      <c r="D28" s="144"/>
      <c r="E28" s="144"/>
      <c r="F28" s="144"/>
      <c r="G28" s="144"/>
      <c r="H28" s="144"/>
      <c r="I28" s="144"/>
      <c r="J28" s="144"/>
      <c r="K28" s="144"/>
      <c r="L28" s="144"/>
      <c r="M28" s="144"/>
      <c r="N28" s="144"/>
    </row>
    <row r="29" spans="1:15" s="145" customFormat="1" ht="12" x14ac:dyDescent="0.25">
      <c r="A29" s="155" t="s">
        <v>99</v>
      </c>
      <c r="B29" s="156">
        <f t="shared" ref="B29:N29" si="5">B17-B27</f>
        <v>741.5</v>
      </c>
      <c r="C29" s="156">
        <f t="shared" si="5"/>
        <v>741.5</v>
      </c>
      <c r="D29" s="156">
        <f t="shared" si="5"/>
        <v>741.5</v>
      </c>
      <c r="E29" s="156">
        <f t="shared" si="5"/>
        <v>741.5</v>
      </c>
      <c r="F29" s="156">
        <f t="shared" si="5"/>
        <v>741.5</v>
      </c>
      <c r="G29" s="156">
        <f t="shared" si="5"/>
        <v>741.5</v>
      </c>
      <c r="H29" s="156">
        <f t="shared" si="5"/>
        <v>741.5</v>
      </c>
      <c r="I29" s="156">
        <f t="shared" si="5"/>
        <v>741.5</v>
      </c>
      <c r="J29" s="156">
        <f t="shared" si="5"/>
        <v>741.5</v>
      </c>
      <c r="K29" s="156">
        <f t="shared" si="5"/>
        <v>741.5</v>
      </c>
      <c r="L29" s="156">
        <f t="shared" si="5"/>
        <v>741.5</v>
      </c>
      <c r="M29" s="156">
        <f t="shared" si="5"/>
        <v>741.5</v>
      </c>
      <c r="N29" s="156">
        <f t="shared" si="5"/>
        <v>8898</v>
      </c>
    </row>
    <row r="30" spans="1:15" s="145" customFormat="1" ht="16.8" customHeight="1" x14ac:dyDescent="0.2">
      <c r="A30" s="152"/>
      <c r="B30" s="153"/>
      <c r="C30" s="153"/>
      <c r="D30" s="153"/>
      <c r="E30" s="153"/>
      <c r="F30" s="153"/>
      <c r="G30" s="153"/>
      <c r="H30" s="153"/>
      <c r="I30" s="153"/>
      <c r="J30" s="153"/>
      <c r="K30" s="153"/>
      <c r="L30" s="153"/>
      <c r="M30" s="153"/>
      <c r="N30" s="153"/>
    </row>
    <row r="31" spans="1:15" s="145" customFormat="1" ht="12" x14ac:dyDescent="0.25">
      <c r="A31" s="143" t="s">
        <v>100</v>
      </c>
      <c r="B31" s="144"/>
      <c r="C31" s="144"/>
      <c r="D31" s="144"/>
      <c r="E31" s="144"/>
      <c r="F31" s="144"/>
      <c r="G31" s="144"/>
      <c r="H31" s="144"/>
      <c r="I31" s="144"/>
      <c r="J31" s="144"/>
      <c r="K31" s="144"/>
      <c r="L31" s="144"/>
      <c r="M31" s="144"/>
      <c r="N31" s="144"/>
    </row>
    <row r="32" spans="1:15" s="145" customFormat="1" ht="11.4" x14ac:dyDescent="0.2">
      <c r="A32" s="146" t="s">
        <v>101</v>
      </c>
      <c r="B32" s="147"/>
      <c r="C32" s="147"/>
      <c r="D32" s="147"/>
      <c r="E32" s="147"/>
      <c r="F32" s="147"/>
      <c r="G32" s="147"/>
      <c r="H32" s="147"/>
      <c r="I32" s="147"/>
      <c r="J32" s="147"/>
      <c r="K32" s="147"/>
      <c r="L32" s="147"/>
      <c r="M32" s="147"/>
      <c r="N32" s="147">
        <f>SUM(B32:M32)</f>
        <v>0</v>
      </c>
    </row>
    <row r="33" spans="1:14" s="145" customFormat="1" ht="11.4" x14ac:dyDescent="0.2">
      <c r="A33" s="148" t="s">
        <v>102</v>
      </c>
      <c r="B33" s="149"/>
      <c r="C33" s="149"/>
      <c r="D33" s="149"/>
      <c r="E33" s="149"/>
      <c r="F33" s="149"/>
      <c r="G33" s="149"/>
      <c r="H33" s="149"/>
      <c r="I33" s="149"/>
      <c r="J33" s="149"/>
      <c r="K33" s="149"/>
      <c r="L33" s="149"/>
      <c r="M33" s="149"/>
      <c r="N33" s="147">
        <f t="shared" ref="N33:N50" si="6">SUM(B33:M33)</f>
        <v>0</v>
      </c>
    </row>
    <row r="34" spans="1:14" s="145" customFormat="1" ht="11.4" x14ac:dyDescent="0.2">
      <c r="A34" s="148" t="s">
        <v>103</v>
      </c>
      <c r="B34" s="149"/>
      <c r="C34" s="149"/>
      <c r="D34" s="149"/>
      <c r="E34" s="149"/>
      <c r="F34" s="149"/>
      <c r="G34" s="149"/>
      <c r="H34" s="149"/>
      <c r="I34" s="149"/>
      <c r="J34" s="149"/>
      <c r="K34" s="149"/>
      <c r="L34" s="149"/>
      <c r="M34" s="149"/>
      <c r="N34" s="147">
        <f t="shared" si="6"/>
        <v>0</v>
      </c>
    </row>
    <row r="35" spans="1:14" s="145" customFormat="1" ht="22.8" x14ac:dyDescent="0.2">
      <c r="A35" s="148" t="s">
        <v>104</v>
      </c>
      <c r="B35" s="149">
        <v>45</v>
      </c>
      <c r="C35" s="149">
        <v>45</v>
      </c>
      <c r="D35" s="149">
        <v>45</v>
      </c>
      <c r="E35" s="149">
        <v>45</v>
      </c>
      <c r="F35" s="149">
        <v>45</v>
      </c>
      <c r="G35" s="149">
        <v>45</v>
      </c>
      <c r="H35" s="149">
        <v>45</v>
      </c>
      <c r="I35" s="149">
        <v>45</v>
      </c>
      <c r="J35" s="149">
        <v>45</v>
      </c>
      <c r="K35" s="149">
        <v>45</v>
      </c>
      <c r="L35" s="149">
        <v>45</v>
      </c>
      <c r="M35" s="149">
        <v>45</v>
      </c>
      <c r="N35" s="147">
        <f t="shared" si="6"/>
        <v>540</v>
      </c>
    </row>
    <row r="36" spans="1:14" s="145" customFormat="1" ht="22.8" x14ac:dyDescent="0.2">
      <c r="A36" s="148" t="s">
        <v>105</v>
      </c>
      <c r="B36" s="149"/>
      <c r="C36" s="149"/>
      <c r="D36" s="149"/>
      <c r="E36" s="149"/>
      <c r="F36" s="149"/>
      <c r="G36" s="149"/>
      <c r="H36" s="149"/>
      <c r="I36" s="149"/>
      <c r="J36" s="149"/>
      <c r="K36" s="149"/>
      <c r="L36" s="149"/>
      <c r="M36" s="149"/>
      <c r="N36" s="147">
        <f t="shared" si="6"/>
        <v>0</v>
      </c>
    </row>
    <row r="37" spans="1:14" s="145" customFormat="1" ht="11.4" x14ac:dyDescent="0.2">
      <c r="A37" s="148" t="s">
        <v>69</v>
      </c>
      <c r="B37" s="149">
        <v>50</v>
      </c>
      <c r="C37" s="149">
        <v>50</v>
      </c>
      <c r="D37" s="149">
        <v>50</v>
      </c>
      <c r="E37" s="149">
        <v>50</v>
      </c>
      <c r="F37" s="149">
        <v>50</v>
      </c>
      <c r="G37" s="149">
        <v>50</v>
      </c>
      <c r="H37" s="149">
        <v>50</v>
      </c>
      <c r="I37" s="149">
        <v>50</v>
      </c>
      <c r="J37" s="149">
        <v>50</v>
      </c>
      <c r="K37" s="149">
        <v>50</v>
      </c>
      <c r="L37" s="149">
        <v>50</v>
      </c>
      <c r="M37" s="149">
        <v>50</v>
      </c>
      <c r="N37" s="147">
        <f t="shared" si="6"/>
        <v>600</v>
      </c>
    </row>
    <row r="38" spans="1:14" s="145" customFormat="1" ht="11.4" x14ac:dyDescent="0.2">
      <c r="A38" s="148" t="s">
        <v>106</v>
      </c>
      <c r="B38" s="149"/>
      <c r="C38" s="149"/>
      <c r="D38" s="149"/>
      <c r="E38" s="149"/>
      <c r="F38" s="149"/>
      <c r="G38" s="149"/>
      <c r="H38" s="149"/>
      <c r="I38" s="149"/>
      <c r="J38" s="149"/>
      <c r="K38" s="149"/>
      <c r="L38" s="149"/>
      <c r="M38" s="149"/>
      <c r="N38" s="147">
        <f t="shared" si="6"/>
        <v>0</v>
      </c>
    </row>
    <row r="39" spans="1:14" s="145" customFormat="1" ht="11.4" x14ac:dyDescent="0.2">
      <c r="A39" s="148" t="s">
        <v>107</v>
      </c>
      <c r="B39" s="149"/>
      <c r="C39" s="149"/>
      <c r="D39" s="149"/>
      <c r="E39" s="149"/>
      <c r="F39" s="149"/>
      <c r="G39" s="149"/>
      <c r="H39" s="149"/>
      <c r="I39" s="149"/>
      <c r="J39" s="149"/>
      <c r="K39" s="149"/>
      <c r="L39" s="149"/>
      <c r="M39" s="149"/>
      <c r="N39" s="147">
        <f t="shared" si="6"/>
        <v>0</v>
      </c>
    </row>
    <row r="40" spans="1:14" s="145" customFormat="1" ht="11.4" x14ac:dyDescent="0.2">
      <c r="A40" s="148" t="s">
        <v>108</v>
      </c>
      <c r="B40" s="149"/>
      <c r="C40" s="149"/>
      <c r="D40" s="149"/>
      <c r="E40" s="149"/>
      <c r="F40" s="149"/>
      <c r="G40" s="149"/>
      <c r="H40" s="149"/>
      <c r="I40" s="149"/>
      <c r="J40" s="149"/>
      <c r="K40" s="149"/>
      <c r="L40" s="149"/>
      <c r="M40" s="149"/>
      <c r="N40" s="147">
        <f t="shared" si="6"/>
        <v>0</v>
      </c>
    </row>
    <row r="41" spans="1:14" s="145" customFormat="1" ht="11.4" x14ac:dyDescent="0.2">
      <c r="A41" s="148" t="s">
        <v>109</v>
      </c>
      <c r="B41" s="149"/>
      <c r="C41" s="149"/>
      <c r="D41" s="149"/>
      <c r="E41" s="149"/>
      <c r="F41" s="149"/>
      <c r="G41" s="149"/>
      <c r="H41" s="149"/>
      <c r="I41" s="149"/>
      <c r="J41" s="149"/>
      <c r="K41" s="149"/>
      <c r="L41" s="149"/>
      <c r="M41" s="149"/>
      <c r="N41" s="147">
        <f t="shared" si="6"/>
        <v>0</v>
      </c>
    </row>
    <row r="42" spans="1:14" s="145" customFormat="1" ht="11.4" x14ac:dyDescent="0.2">
      <c r="A42" s="148" t="s">
        <v>110</v>
      </c>
      <c r="B42" s="149"/>
      <c r="C42" s="149"/>
      <c r="D42" s="149"/>
      <c r="E42" s="149"/>
      <c r="F42" s="149"/>
      <c r="G42" s="149"/>
      <c r="H42" s="149"/>
      <c r="I42" s="149"/>
      <c r="J42" s="149"/>
      <c r="K42" s="149"/>
      <c r="L42" s="149"/>
      <c r="M42" s="149"/>
      <c r="N42" s="147">
        <f t="shared" si="6"/>
        <v>0</v>
      </c>
    </row>
    <row r="43" spans="1:14" s="145" customFormat="1" ht="11.4" x14ac:dyDescent="0.2">
      <c r="A43" s="148" t="s">
        <v>111</v>
      </c>
      <c r="B43" s="149">
        <v>50</v>
      </c>
      <c r="C43" s="149">
        <v>50</v>
      </c>
      <c r="D43" s="149">
        <v>50</v>
      </c>
      <c r="E43" s="149">
        <v>50</v>
      </c>
      <c r="F43" s="149">
        <v>50</v>
      </c>
      <c r="G43" s="149">
        <v>50</v>
      </c>
      <c r="H43" s="149">
        <v>50</v>
      </c>
      <c r="I43" s="149">
        <v>50</v>
      </c>
      <c r="J43" s="149">
        <v>50</v>
      </c>
      <c r="K43" s="149">
        <v>50</v>
      </c>
      <c r="L43" s="149">
        <v>50</v>
      </c>
      <c r="M43" s="149">
        <v>50</v>
      </c>
      <c r="N43" s="147">
        <f t="shared" si="6"/>
        <v>600</v>
      </c>
    </row>
    <row r="44" spans="1:14" s="145" customFormat="1" ht="11.4" x14ac:dyDescent="0.2">
      <c r="A44" s="148" t="s">
        <v>112</v>
      </c>
      <c r="B44" s="149"/>
      <c r="C44" s="149"/>
      <c r="D44" s="149"/>
      <c r="E44" s="149"/>
      <c r="F44" s="149"/>
      <c r="G44" s="149"/>
      <c r="H44" s="149"/>
      <c r="I44" s="149"/>
      <c r="J44" s="149"/>
      <c r="K44" s="149"/>
      <c r="L44" s="149"/>
      <c r="M44" s="149"/>
      <c r="N44" s="147">
        <f t="shared" si="6"/>
        <v>0</v>
      </c>
    </row>
    <row r="45" spans="1:14" s="145" customFormat="1" ht="11.4" x14ac:dyDescent="0.2">
      <c r="A45" s="148" t="s">
        <v>113</v>
      </c>
      <c r="B45" s="149"/>
      <c r="C45" s="149"/>
      <c r="D45" s="149"/>
      <c r="E45" s="149"/>
      <c r="F45" s="149"/>
      <c r="G45" s="149"/>
      <c r="H45" s="149"/>
      <c r="I45" s="149"/>
      <c r="J45" s="149"/>
      <c r="K45" s="149"/>
      <c r="L45" s="149"/>
      <c r="M45" s="149"/>
      <c r="N45" s="147">
        <f t="shared" si="6"/>
        <v>0</v>
      </c>
    </row>
    <row r="46" spans="1:14" s="145" customFormat="1" ht="11.4" x14ac:dyDescent="0.2">
      <c r="A46" s="148" t="s">
        <v>114</v>
      </c>
      <c r="B46" s="149">
        <v>54</v>
      </c>
      <c r="C46" s="149">
        <v>54</v>
      </c>
      <c r="D46" s="149">
        <v>54</v>
      </c>
      <c r="E46" s="149">
        <v>54</v>
      </c>
      <c r="F46" s="149">
        <v>54</v>
      </c>
      <c r="G46" s="149">
        <v>54</v>
      </c>
      <c r="H46" s="149">
        <v>54</v>
      </c>
      <c r="I46" s="149">
        <v>54</v>
      </c>
      <c r="J46" s="149">
        <v>54</v>
      </c>
      <c r="K46" s="149">
        <v>54</v>
      </c>
      <c r="L46" s="149">
        <v>54</v>
      </c>
      <c r="M46" s="149">
        <v>54</v>
      </c>
      <c r="N46" s="147">
        <f t="shared" si="6"/>
        <v>648</v>
      </c>
    </row>
    <row r="47" spans="1:14" s="145" customFormat="1" ht="22.8" x14ac:dyDescent="0.2">
      <c r="A47" s="148" t="s">
        <v>115</v>
      </c>
      <c r="B47" s="149"/>
      <c r="C47" s="149"/>
      <c r="D47" s="149"/>
      <c r="E47" s="149"/>
      <c r="F47" s="149"/>
      <c r="G47" s="149"/>
      <c r="H47" s="149"/>
      <c r="I47" s="149"/>
      <c r="J47" s="149"/>
      <c r="K47" s="149"/>
      <c r="L47" s="149"/>
      <c r="M47" s="149"/>
      <c r="N47" s="147">
        <f t="shared" si="6"/>
        <v>0</v>
      </c>
    </row>
    <row r="48" spans="1:14" s="145" customFormat="1" ht="22.8" x14ac:dyDescent="0.2">
      <c r="A48" s="148" t="s">
        <v>115</v>
      </c>
      <c r="B48" s="149"/>
      <c r="C48" s="149"/>
      <c r="D48" s="149"/>
      <c r="E48" s="149"/>
      <c r="F48" s="149"/>
      <c r="G48" s="149"/>
      <c r="H48" s="149"/>
      <c r="I48" s="149"/>
      <c r="J48" s="149"/>
      <c r="K48" s="149"/>
      <c r="L48" s="149"/>
      <c r="M48" s="149"/>
      <c r="N48" s="147">
        <f t="shared" si="6"/>
        <v>0</v>
      </c>
    </row>
    <row r="49" spans="1:14" s="145" customFormat="1" ht="22.8" x14ac:dyDescent="0.2">
      <c r="A49" s="148" t="s">
        <v>115</v>
      </c>
      <c r="B49" s="149"/>
      <c r="C49" s="149"/>
      <c r="D49" s="149"/>
      <c r="E49" s="149"/>
      <c r="F49" s="149"/>
      <c r="G49" s="149"/>
      <c r="H49" s="149"/>
      <c r="I49" s="149"/>
      <c r="J49" s="149"/>
      <c r="K49" s="149"/>
      <c r="L49" s="149"/>
      <c r="M49" s="149"/>
      <c r="N49" s="147">
        <f t="shared" si="6"/>
        <v>0</v>
      </c>
    </row>
    <row r="50" spans="1:14" s="145" customFormat="1" ht="26.25" customHeight="1" x14ac:dyDescent="0.2">
      <c r="A50" s="148" t="s">
        <v>116</v>
      </c>
      <c r="B50" s="149"/>
      <c r="C50" s="149"/>
      <c r="D50" s="149"/>
      <c r="E50" s="149"/>
      <c r="F50" s="149"/>
      <c r="G50" s="149"/>
      <c r="H50" s="149"/>
      <c r="I50" s="149"/>
      <c r="J50" s="149"/>
      <c r="K50" s="149"/>
      <c r="L50" s="149"/>
      <c r="M50" s="149"/>
      <c r="N50" s="147">
        <f t="shared" si="6"/>
        <v>0</v>
      </c>
    </row>
    <row r="51" spans="1:14" s="145" customFormat="1" ht="12" x14ac:dyDescent="0.25">
      <c r="A51" s="150" t="s">
        <v>117</v>
      </c>
      <c r="B51" s="151">
        <f>SUM(B32:B50)</f>
        <v>199</v>
      </c>
      <c r="C51" s="151">
        <f t="shared" ref="C51:N51" si="7">SUM(C32:C50)</f>
        <v>199</v>
      </c>
      <c r="D51" s="151">
        <f t="shared" si="7"/>
        <v>199</v>
      </c>
      <c r="E51" s="151">
        <f t="shared" si="7"/>
        <v>199</v>
      </c>
      <c r="F51" s="151">
        <f t="shared" si="7"/>
        <v>199</v>
      </c>
      <c r="G51" s="151">
        <f t="shared" si="7"/>
        <v>199</v>
      </c>
      <c r="H51" s="151">
        <f t="shared" si="7"/>
        <v>199</v>
      </c>
      <c r="I51" s="151">
        <f t="shared" si="7"/>
        <v>199</v>
      </c>
      <c r="J51" s="151">
        <f t="shared" si="7"/>
        <v>199</v>
      </c>
      <c r="K51" s="151">
        <f t="shared" si="7"/>
        <v>199</v>
      </c>
      <c r="L51" s="151">
        <f t="shared" si="7"/>
        <v>199</v>
      </c>
      <c r="M51" s="151">
        <f t="shared" si="7"/>
        <v>199</v>
      </c>
      <c r="N51" s="149">
        <f t="shared" si="7"/>
        <v>2388</v>
      </c>
    </row>
    <row r="52" spans="1:14" s="145" customFormat="1" ht="24" x14ac:dyDescent="0.25">
      <c r="A52" s="157" t="s">
        <v>118</v>
      </c>
      <c r="B52" s="158">
        <f>B51*0.1</f>
        <v>19.900000000000002</v>
      </c>
      <c r="C52" s="158">
        <f t="shared" ref="C52:M52" si="8">C51*0.1</f>
        <v>19.900000000000002</v>
      </c>
      <c r="D52" s="158">
        <f t="shared" si="8"/>
        <v>19.900000000000002</v>
      </c>
      <c r="E52" s="158">
        <f t="shared" si="8"/>
        <v>19.900000000000002</v>
      </c>
      <c r="F52" s="158">
        <f t="shared" si="8"/>
        <v>19.900000000000002</v>
      </c>
      <c r="G52" s="158">
        <f t="shared" si="8"/>
        <v>19.900000000000002</v>
      </c>
      <c r="H52" s="158">
        <f t="shared" si="8"/>
        <v>19.900000000000002</v>
      </c>
      <c r="I52" s="158">
        <f t="shared" si="8"/>
        <v>19.900000000000002</v>
      </c>
      <c r="J52" s="158">
        <f t="shared" si="8"/>
        <v>19.900000000000002</v>
      </c>
      <c r="K52" s="158">
        <f t="shared" si="8"/>
        <v>19.900000000000002</v>
      </c>
      <c r="L52" s="158">
        <f t="shared" si="8"/>
        <v>19.900000000000002</v>
      </c>
      <c r="M52" s="158">
        <f t="shared" si="8"/>
        <v>19.900000000000002</v>
      </c>
      <c r="N52" s="147">
        <f>SUM(M52,L52,K52,J52,I52,H52,G52,F52,E52,D52,C52,B52)</f>
        <v>238.80000000000004</v>
      </c>
    </row>
    <row r="53" spans="1:14" s="145" customFormat="1" ht="12" x14ac:dyDescent="0.25">
      <c r="A53" s="157" t="s">
        <v>119</v>
      </c>
      <c r="B53" s="151">
        <f>SUM(B51:B52)</f>
        <v>218.9</v>
      </c>
      <c r="C53" s="151">
        <f t="shared" ref="C53:N53" si="9">SUM(C51:C52)</f>
        <v>218.9</v>
      </c>
      <c r="D53" s="151">
        <f t="shared" si="9"/>
        <v>218.9</v>
      </c>
      <c r="E53" s="151">
        <f t="shared" si="9"/>
        <v>218.9</v>
      </c>
      <c r="F53" s="151">
        <f t="shared" si="9"/>
        <v>218.9</v>
      </c>
      <c r="G53" s="151">
        <f t="shared" si="9"/>
        <v>218.9</v>
      </c>
      <c r="H53" s="151">
        <f t="shared" si="9"/>
        <v>218.9</v>
      </c>
      <c r="I53" s="151">
        <f t="shared" si="9"/>
        <v>218.9</v>
      </c>
      <c r="J53" s="151">
        <f t="shared" si="9"/>
        <v>218.9</v>
      </c>
      <c r="K53" s="151">
        <f t="shared" si="9"/>
        <v>218.9</v>
      </c>
      <c r="L53" s="151">
        <f t="shared" si="9"/>
        <v>218.9</v>
      </c>
      <c r="M53" s="151">
        <f t="shared" si="9"/>
        <v>218.9</v>
      </c>
      <c r="N53" s="151">
        <f t="shared" si="9"/>
        <v>2626.8</v>
      </c>
    </row>
    <row r="54" spans="1:14" s="145" customFormat="1" ht="12" x14ac:dyDescent="0.25">
      <c r="A54" s="157"/>
      <c r="B54" s="151"/>
      <c r="C54" s="151"/>
      <c r="D54" s="151"/>
      <c r="E54" s="151"/>
      <c r="F54" s="151"/>
      <c r="G54" s="151"/>
      <c r="H54" s="151"/>
      <c r="I54" s="151"/>
      <c r="J54" s="151"/>
      <c r="K54" s="151"/>
      <c r="L54" s="151"/>
      <c r="M54" s="151"/>
      <c r="N54" s="151"/>
    </row>
    <row r="55" spans="1:14" s="145" customFormat="1" ht="24" x14ac:dyDescent="0.25">
      <c r="A55" s="157" t="s">
        <v>120</v>
      </c>
      <c r="B55" s="151">
        <f>B29-B53</f>
        <v>522.6</v>
      </c>
      <c r="C55" s="151">
        <f t="shared" ref="C55:N55" si="10">C29-C53</f>
        <v>522.6</v>
      </c>
      <c r="D55" s="151">
        <f t="shared" si="10"/>
        <v>522.6</v>
      </c>
      <c r="E55" s="151">
        <f t="shared" si="10"/>
        <v>522.6</v>
      </c>
      <c r="F55" s="151">
        <f t="shared" si="10"/>
        <v>522.6</v>
      </c>
      <c r="G55" s="151">
        <f t="shared" si="10"/>
        <v>522.6</v>
      </c>
      <c r="H55" s="151">
        <f t="shared" si="10"/>
        <v>522.6</v>
      </c>
      <c r="I55" s="151">
        <f t="shared" si="10"/>
        <v>522.6</v>
      </c>
      <c r="J55" s="151">
        <f t="shared" si="10"/>
        <v>522.6</v>
      </c>
      <c r="K55" s="151">
        <f t="shared" si="10"/>
        <v>522.6</v>
      </c>
      <c r="L55" s="151">
        <f t="shared" si="10"/>
        <v>522.6</v>
      </c>
      <c r="M55" s="151">
        <f t="shared" si="10"/>
        <v>522.6</v>
      </c>
      <c r="N55" s="151">
        <f t="shared" si="10"/>
        <v>6271.2</v>
      </c>
    </row>
    <row r="56" spans="1:14" s="145" customFormat="1" ht="12" x14ac:dyDescent="0.25">
      <c r="A56" s="157" t="s">
        <v>121</v>
      </c>
      <c r="B56" s="151"/>
      <c r="C56" s="151"/>
      <c r="D56" s="151"/>
      <c r="E56" s="151"/>
      <c r="F56" s="151"/>
      <c r="G56" s="151"/>
      <c r="H56" s="151"/>
      <c r="I56" s="151"/>
      <c r="J56" s="151"/>
      <c r="K56" s="151"/>
      <c r="L56" s="151"/>
      <c r="M56" s="151"/>
      <c r="N56" s="151"/>
    </row>
    <row r="57" spans="1:14" s="145" customFormat="1" ht="12" x14ac:dyDescent="0.25">
      <c r="A57" s="157" t="s">
        <v>122</v>
      </c>
      <c r="B57" s="151"/>
      <c r="C57" s="151"/>
      <c r="D57" s="151"/>
      <c r="E57" s="151"/>
      <c r="F57" s="151"/>
      <c r="G57" s="151"/>
      <c r="H57" s="151"/>
      <c r="I57" s="151"/>
      <c r="J57" s="151"/>
      <c r="K57" s="151"/>
      <c r="L57" s="151"/>
      <c r="M57" s="151"/>
      <c r="N57" s="151"/>
    </row>
    <row r="58" spans="1:14" s="145" customFormat="1" ht="12" x14ac:dyDescent="0.25">
      <c r="A58" s="159" t="s">
        <v>123</v>
      </c>
      <c r="B58" s="149"/>
      <c r="C58" s="160"/>
      <c r="D58" s="160"/>
      <c r="E58" s="160"/>
      <c r="F58" s="160"/>
      <c r="G58" s="160"/>
      <c r="H58" s="160"/>
      <c r="I58" s="160"/>
      <c r="J58" s="160"/>
      <c r="K58" s="160"/>
      <c r="L58" s="160"/>
      <c r="M58" s="160"/>
      <c r="N58" s="160"/>
    </row>
    <row r="59" spans="1:14" s="145" customFormat="1" ht="12" x14ac:dyDescent="0.25">
      <c r="A59" s="161" t="s">
        <v>124</v>
      </c>
      <c r="B59" s="147">
        <f>B29-(B53+B56+B57+B58)</f>
        <v>522.6</v>
      </c>
      <c r="C59" s="147">
        <f t="shared" ref="C59:N59" si="11">C29-(C53+C56+C57+C58)</f>
        <v>522.6</v>
      </c>
      <c r="D59" s="147">
        <f t="shared" si="11"/>
        <v>522.6</v>
      </c>
      <c r="E59" s="147">
        <f t="shared" si="11"/>
        <v>522.6</v>
      </c>
      <c r="F59" s="147">
        <f t="shared" si="11"/>
        <v>522.6</v>
      </c>
      <c r="G59" s="147">
        <f t="shared" si="11"/>
        <v>522.6</v>
      </c>
      <c r="H59" s="147">
        <f t="shared" si="11"/>
        <v>522.6</v>
      </c>
      <c r="I59" s="147">
        <f t="shared" si="11"/>
        <v>522.6</v>
      </c>
      <c r="J59" s="147">
        <f t="shared" si="11"/>
        <v>522.6</v>
      </c>
      <c r="K59" s="147">
        <f t="shared" si="11"/>
        <v>522.6</v>
      </c>
      <c r="L59" s="147">
        <f t="shared" si="11"/>
        <v>522.6</v>
      </c>
      <c r="M59" s="147">
        <f t="shared" si="11"/>
        <v>522.6</v>
      </c>
      <c r="N59" s="147">
        <f t="shared" si="11"/>
        <v>6271.2</v>
      </c>
    </row>
    <row r="60" spans="1:14" s="163" customFormat="1" ht="10.199999999999999" x14ac:dyDescent="0.2">
      <c r="A60" s="162"/>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71AE-DF25-4300-9954-EBCAA6CCB2D5}">
  <dimension ref="A1:O50"/>
  <sheetViews>
    <sheetView topLeftCell="A27" workbookViewId="0">
      <selection activeCell="M28" sqref="M28"/>
    </sheetView>
  </sheetViews>
  <sheetFormatPr defaultColWidth="7.21875" defaultRowHeight="15.6" x14ac:dyDescent="0.25"/>
  <cols>
    <col min="1" max="1" width="43.109375" style="165" customWidth="1"/>
    <col min="2" max="14" width="12.21875" style="166" customWidth="1"/>
    <col min="15" max="15" width="15.88671875" style="166" bestFit="1" customWidth="1"/>
    <col min="16" max="16384" width="7.21875" style="166"/>
  </cols>
  <sheetData>
    <row r="1" spans="1:15" ht="82.95" customHeight="1" x14ac:dyDescent="0.25"/>
    <row r="2" spans="1:15" s="168" customFormat="1" x14ac:dyDescent="0.3">
      <c r="A2" s="167" t="s">
        <v>125</v>
      </c>
      <c r="G2" s="167" t="s">
        <v>126</v>
      </c>
      <c r="H2" s="167"/>
      <c r="I2" s="167"/>
      <c r="M2" s="167"/>
      <c r="N2" s="169" t="s">
        <v>127</v>
      </c>
      <c r="O2" s="170">
        <v>43466</v>
      </c>
    </row>
    <row r="3" spans="1:15" ht="28.8" x14ac:dyDescent="0.25">
      <c r="A3" s="171"/>
      <c r="B3" s="172" t="s">
        <v>128</v>
      </c>
      <c r="C3" s="173">
        <f>O2</f>
        <v>43466</v>
      </c>
      <c r="D3" s="173">
        <f>DATE(YEAR(C3),MONTH(C3)+1,1)</f>
        <v>43497</v>
      </c>
      <c r="E3" s="173">
        <f t="shared" ref="E3:N3" si="0">DATE(YEAR(D3),MONTH(D3)+1,1)</f>
        <v>43525</v>
      </c>
      <c r="F3" s="173">
        <f t="shared" si="0"/>
        <v>43556</v>
      </c>
      <c r="G3" s="173">
        <f t="shared" si="0"/>
        <v>43586</v>
      </c>
      <c r="H3" s="173">
        <f t="shared" si="0"/>
        <v>43617</v>
      </c>
      <c r="I3" s="173">
        <f t="shared" si="0"/>
        <v>43647</v>
      </c>
      <c r="J3" s="173">
        <f t="shared" si="0"/>
        <v>43678</v>
      </c>
      <c r="K3" s="173">
        <f t="shared" si="0"/>
        <v>43709</v>
      </c>
      <c r="L3" s="173">
        <f t="shared" si="0"/>
        <v>43739</v>
      </c>
      <c r="M3" s="173">
        <f t="shared" si="0"/>
        <v>43770</v>
      </c>
      <c r="N3" s="173">
        <f t="shared" si="0"/>
        <v>43800</v>
      </c>
      <c r="O3" s="174" t="s">
        <v>129</v>
      </c>
    </row>
    <row r="4" spans="1:15" x14ac:dyDescent="0.25">
      <c r="A4" s="175" t="s">
        <v>130</v>
      </c>
      <c r="B4" s="176"/>
      <c r="C4" s="176">
        <v>4500</v>
      </c>
      <c r="D4" s="176">
        <f t="shared" ref="D4:N4" si="1">C42</f>
        <v>1365</v>
      </c>
      <c r="E4" s="176">
        <f t="shared" si="1"/>
        <v>810</v>
      </c>
      <c r="F4" s="176">
        <f t="shared" si="1"/>
        <v>255</v>
      </c>
      <c r="G4" s="176">
        <f t="shared" si="1"/>
        <v>-300</v>
      </c>
      <c r="H4" s="176">
        <f t="shared" si="1"/>
        <v>-855</v>
      </c>
      <c r="I4" s="176">
        <f t="shared" si="1"/>
        <v>-1410</v>
      </c>
      <c r="J4" s="176">
        <f t="shared" si="1"/>
        <v>-1965</v>
      </c>
      <c r="K4" s="176">
        <f t="shared" si="1"/>
        <v>-2520</v>
      </c>
      <c r="L4" s="176">
        <f t="shared" si="1"/>
        <v>-3075</v>
      </c>
      <c r="M4" s="176">
        <f t="shared" si="1"/>
        <v>-3630</v>
      </c>
      <c r="N4" s="176">
        <f t="shared" si="1"/>
        <v>-4185</v>
      </c>
      <c r="O4" s="176">
        <f>C4</f>
        <v>4500</v>
      </c>
    </row>
    <row r="5" spans="1:15" x14ac:dyDescent="0.25">
      <c r="A5" s="177"/>
      <c r="B5" s="178"/>
      <c r="C5" s="178"/>
      <c r="D5" s="178"/>
      <c r="E5" s="178"/>
      <c r="F5" s="178"/>
      <c r="G5" s="178"/>
      <c r="H5" s="178"/>
      <c r="I5" s="178"/>
      <c r="J5" s="178"/>
      <c r="K5" s="178"/>
      <c r="L5" s="178"/>
      <c r="M5" s="178"/>
      <c r="N5" s="178"/>
      <c r="O5" s="178"/>
    </row>
    <row r="6" spans="1:15" x14ac:dyDescent="0.25">
      <c r="A6" s="179" t="s">
        <v>131</v>
      </c>
      <c r="B6" s="180"/>
      <c r="C6" s="180"/>
      <c r="D6" s="180"/>
      <c r="E6" s="180"/>
      <c r="F6" s="180"/>
      <c r="G6" s="180"/>
      <c r="H6" s="180"/>
      <c r="I6" s="180"/>
      <c r="J6" s="180"/>
      <c r="K6" s="180"/>
      <c r="L6" s="180"/>
      <c r="M6" s="180"/>
      <c r="N6" s="180"/>
      <c r="O6" s="181"/>
    </row>
    <row r="7" spans="1:15" x14ac:dyDescent="0.25">
      <c r="A7" s="182" t="s">
        <v>132</v>
      </c>
      <c r="B7" s="176"/>
      <c r="C7" s="176">
        <v>555</v>
      </c>
      <c r="D7" s="176"/>
      <c r="E7" s="176"/>
      <c r="F7" s="176"/>
      <c r="G7" s="176"/>
      <c r="H7" s="176"/>
      <c r="I7" s="176"/>
      <c r="J7" s="176"/>
      <c r="K7" s="176"/>
      <c r="L7" s="176"/>
      <c r="M7" s="176"/>
      <c r="N7" s="176"/>
      <c r="O7" s="176"/>
    </row>
    <row r="8" spans="1:15" x14ac:dyDescent="0.25">
      <c r="A8" s="183" t="s">
        <v>133</v>
      </c>
      <c r="B8" s="184"/>
      <c r="C8" s="184"/>
      <c r="D8" s="184"/>
      <c r="E8" s="184"/>
      <c r="F8" s="184"/>
      <c r="G8" s="184"/>
      <c r="H8" s="184"/>
      <c r="I8" s="184"/>
      <c r="J8" s="184"/>
      <c r="K8" s="184"/>
      <c r="L8" s="184"/>
      <c r="M8" s="184"/>
      <c r="N8" s="184"/>
      <c r="O8" s="184"/>
    </row>
    <row r="9" spans="1:15" x14ac:dyDescent="0.25">
      <c r="A9" s="182" t="s">
        <v>134</v>
      </c>
      <c r="B9" s="176"/>
      <c r="C9" s="176"/>
      <c r="D9" s="176"/>
      <c r="E9" s="176"/>
      <c r="F9" s="176"/>
      <c r="G9" s="176"/>
      <c r="H9" s="176"/>
      <c r="I9" s="176"/>
      <c r="J9" s="176"/>
      <c r="K9" s="176"/>
      <c r="L9" s="176"/>
      <c r="M9" s="176"/>
      <c r="N9" s="176"/>
      <c r="O9" s="176"/>
    </row>
    <row r="10" spans="1:15" x14ac:dyDescent="0.25">
      <c r="A10" s="185" t="s">
        <v>135</v>
      </c>
      <c r="B10" s="186">
        <f>SUM(B7:B9)</f>
        <v>0</v>
      </c>
      <c r="C10" s="186">
        <f t="shared" ref="C10:O10" si="2">SUM(C7:C9)</f>
        <v>555</v>
      </c>
      <c r="D10" s="186">
        <f t="shared" si="2"/>
        <v>0</v>
      </c>
      <c r="E10" s="186">
        <f t="shared" si="2"/>
        <v>0</v>
      </c>
      <c r="F10" s="186">
        <f t="shared" si="2"/>
        <v>0</v>
      </c>
      <c r="G10" s="186">
        <f t="shared" si="2"/>
        <v>0</v>
      </c>
      <c r="H10" s="186">
        <f t="shared" si="2"/>
        <v>0</v>
      </c>
      <c r="I10" s="186">
        <f t="shared" si="2"/>
        <v>0</v>
      </c>
      <c r="J10" s="186">
        <f t="shared" si="2"/>
        <v>0</v>
      </c>
      <c r="K10" s="186">
        <f t="shared" si="2"/>
        <v>0</v>
      </c>
      <c r="L10" s="186">
        <f t="shared" si="2"/>
        <v>0</v>
      </c>
      <c r="M10" s="186">
        <f t="shared" si="2"/>
        <v>0</v>
      </c>
      <c r="N10" s="186">
        <f t="shared" si="2"/>
        <v>0</v>
      </c>
      <c r="O10" s="186">
        <f t="shared" si="2"/>
        <v>0</v>
      </c>
    </row>
    <row r="11" spans="1:15" x14ac:dyDescent="0.25">
      <c r="A11" s="175" t="s">
        <v>136</v>
      </c>
      <c r="B11" s="186">
        <f>(B4+B10)</f>
        <v>0</v>
      </c>
      <c r="C11" s="186">
        <f t="shared" ref="C11:O11" si="3">(C4+C10)</f>
        <v>5055</v>
      </c>
      <c r="D11" s="186">
        <f t="shared" si="3"/>
        <v>1365</v>
      </c>
      <c r="E11" s="186">
        <f t="shared" si="3"/>
        <v>810</v>
      </c>
      <c r="F11" s="186">
        <f t="shared" si="3"/>
        <v>255</v>
      </c>
      <c r="G11" s="186">
        <f t="shared" si="3"/>
        <v>-300</v>
      </c>
      <c r="H11" s="186">
        <f t="shared" si="3"/>
        <v>-855</v>
      </c>
      <c r="I11" s="186">
        <f t="shared" si="3"/>
        <v>-1410</v>
      </c>
      <c r="J11" s="186">
        <f t="shared" si="3"/>
        <v>-1965</v>
      </c>
      <c r="K11" s="186">
        <f t="shared" si="3"/>
        <v>-2520</v>
      </c>
      <c r="L11" s="186">
        <f t="shared" si="3"/>
        <v>-3075</v>
      </c>
      <c r="M11" s="186">
        <f t="shared" si="3"/>
        <v>-3630</v>
      </c>
      <c r="N11" s="186">
        <f t="shared" si="3"/>
        <v>-4185</v>
      </c>
      <c r="O11" s="186">
        <f t="shared" si="3"/>
        <v>4500</v>
      </c>
    </row>
    <row r="12" spans="1:15" x14ac:dyDescent="0.25">
      <c r="A12" s="187"/>
      <c r="B12" s="188"/>
      <c r="C12" s="188"/>
      <c r="D12" s="188"/>
      <c r="E12" s="188"/>
      <c r="F12" s="188"/>
      <c r="G12" s="188"/>
      <c r="H12" s="188"/>
      <c r="I12" s="188"/>
      <c r="J12" s="188"/>
      <c r="K12" s="188"/>
      <c r="L12" s="188"/>
      <c r="M12" s="188"/>
      <c r="N12" s="188"/>
      <c r="O12" s="188"/>
    </row>
    <row r="13" spans="1:15" x14ac:dyDescent="0.25">
      <c r="A13" s="179" t="s">
        <v>137</v>
      </c>
      <c r="B13" s="189"/>
      <c r="C13" s="189"/>
      <c r="D13" s="189"/>
      <c r="E13" s="189"/>
      <c r="F13" s="189"/>
      <c r="G13" s="189"/>
      <c r="H13" s="189"/>
      <c r="I13" s="189"/>
      <c r="J13" s="189"/>
      <c r="K13" s="189"/>
      <c r="L13" s="189"/>
      <c r="M13" s="189"/>
      <c r="N13" s="189"/>
      <c r="O13" s="181"/>
    </row>
    <row r="14" spans="1:15" x14ac:dyDescent="0.25">
      <c r="A14" s="182" t="s">
        <v>138</v>
      </c>
      <c r="B14" s="176"/>
      <c r="C14" s="176">
        <v>1950</v>
      </c>
      <c r="D14" s="176"/>
      <c r="E14" s="176"/>
      <c r="F14" s="176"/>
      <c r="G14" s="176"/>
      <c r="H14" s="176"/>
      <c r="I14" s="176"/>
      <c r="J14" s="176"/>
      <c r="K14" s="176"/>
      <c r="L14" s="176"/>
      <c r="M14" s="176"/>
      <c r="N14" s="176"/>
      <c r="O14" s="176"/>
    </row>
    <row r="15" spans="1:15" x14ac:dyDescent="0.25">
      <c r="A15" s="190" t="s">
        <v>139</v>
      </c>
      <c r="B15" s="184"/>
      <c r="C15" s="184">
        <v>585</v>
      </c>
      <c r="D15" s="184"/>
      <c r="E15" s="184"/>
      <c r="F15" s="184"/>
      <c r="G15" s="184"/>
      <c r="H15" s="184"/>
      <c r="I15" s="184"/>
      <c r="J15" s="184"/>
      <c r="K15" s="184"/>
      <c r="L15" s="184"/>
      <c r="M15" s="184"/>
      <c r="N15" s="184"/>
      <c r="O15" s="184"/>
    </row>
    <row r="16" spans="1:15" x14ac:dyDescent="0.25">
      <c r="A16" s="182" t="s">
        <v>139</v>
      </c>
      <c r="B16" s="176"/>
      <c r="C16" s="176"/>
      <c r="D16" s="176"/>
      <c r="E16" s="176"/>
      <c r="F16" s="176"/>
      <c r="G16" s="176"/>
      <c r="H16" s="176"/>
      <c r="I16" s="176"/>
      <c r="J16" s="176"/>
      <c r="K16" s="176"/>
      <c r="L16" s="176"/>
      <c r="M16" s="176"/>
      <c r="N16" s="176"/>
      <c r="O16" s="176"/>
    </row>
    <row r="17" spans="1:15" x14ac:dyDescent="0.25">
      <c r="A17" s="190" t="s">
        <v>140</v>
      </c>
      <c r="B17" s="184"/>
      <c r="C17" s="184"/>
      <c r="D17" s="184"/>
      <c r="E17" s="184"/>
      <c r="F17" s="184"/>
      <c r="G17" s="184"/>
      <c r="H17" s="184"/>
      <c r="I17" s="184"/>
      <c r="J17" s="184"/>
      <c r="K17" s="184"/>
      <c r="L17" s="184"/>
      <c r="M17" s="184"/>
      <c r="N17" s="184"/>
      <c r="O17" s="184"/>
    </row>
    <row r="18" spans="1:15" x14ac:dyDescent="0.25">
      <c r="A18" s="182" t="s">
        <v>141</v>
      </c>
      <c r="B18" s="176"/>
      <c r="C18" s="176"/>
      <c r="D18" s="176"/>
      <c r="E18" s="176"/>
      <c r="F18" s="176"/>
      <c r="G18" s="176"/>
      <c r="H18" s="176"/>
      <c r="I18" s="176"/>
      <c r="J18" s="176"/>
      <c r="K18" s="176"/>
      <c r="L18" s="176"/>
      <c r="M18" s="176"/>
      <c r="N18" s="176"/>
      <c r="O18" s="176"/>
    </row>
    <row r="19" spans="1:15" x14ac:dyDescent="0.25">
      <c r="A19" s="190" t="s">
        <v>103</v>
      </c>
      <c r="B19" s="184"/>
      <c r="C19" s="184">
        <v>200</v>
      </c>
      <c r="D19" s="184">
        <v>200</v>
      </c>
      <c r="E19" s="184">
        <v>200</v>
      </c>
      <c r="F19" s="184">
        <v>200</v>
      </c>
      <c r="G19" s="184">
        <v>200</v>
      </c>
      <c r="H19" s="184">
        <v>200</v>
      </c>
      <c r="I19" s="184">
        <v>200</v>
      </c>
      <c r="J19" s="184">
        <v>200</v>
      </c>
      <c r="K19" s="184">
        <v>200</v>
      </c>
      <c r="L19" s="184">
        <v>200</v>
      </c>
      <c r="M19" s="184">
        <v>200</v>
      </c>
      <c r="N19" s="184">
        <v>200</v>
      </c>
      <c r="O19" s="184"/>
    </row>
    <row r="20" spans="1:15" x14ac:dyDescent="0.25">
      <c r="A20" s="182" t="s">
        <v>142</v>
      </c>
      <c r="B20" s="176"/>
      <c r="C20" s="176">
        <v>45</v>
      </c>
      <c r="D20" s="176">
        <v>45</v>
      </c>
      <c r="E20" s="176">
        <v>45</v>
      </c>
      <c r="F20" s="176">
        <v>45</v>
      </c>
      <c r="G20" s="176">
        <v>45</v>
      </c>
      <c r="H20" s="176">
        <v>45</v>
      </c>
      <c r="I20" s="176">
        <v>45</v>
      </c>
      <c r="J20" s="176">
        <v>45</v>
      </c>
      <c r="K20" s="176">
        <v>45</v>
      </c>
      <c r="L20" s="176">
        <v>45</v>
      </c>
      <c r="M20" s="176">
        <v>45</v>
      </c>
      <c r="N20" s="176">
        <v>45</v>
      </c>
      <c r="O20" s="176"/>
    </row>
    <row r="21" spans="1:15" x14ac:dyDescent="0.25">
      <c r="A21" s="190" t="s">
        <v>143</v>
      </c>
      <c r="B21" s="184"/>
      <c r="C21" s="184"/>
      <c r="D21" s="184"/>
      <c r="E21" s="184"/>
      <c r="F21" s="184"/>
      <c r="G21" s="184"/>
      <c r="H21" s="184"/>
      <c r="I21" s="184"/>
      <c r="J21" s="184"/>
      <c r="K21" s="184"/>
      <c r="L21" s="184"/>
      <c r="M21" s="184"/>
      <c r="N21" s="184"/>
      <c r="O21" s="184"/>
    </row>
    <row r="22" spans="1:15" x14ac:dyDescent="0.25">
      <c r="A22" s="182" t="s">
        <v>69</v>
      </c>
      <c r="B22" s="176"/>
      <c r="C22" s="176">
        <v>60</v>
      </c>
      <c r="D22" s="176">
        <v>60</v>
      </c>
      <c r="E22" s="176">
        <v>60</v>
      </c>
      <c r="F22" s="176">
        <v>60</v>
      </c>
      <c r="G22" s="176">
        <v>60</v>
      </c>
      <c r="H22" s="176">
        <v>60</v>
      </c>
      <c r="I22" s="176">
        <v>60</v>
      </c>
      <c r="J22" s="176">
        <v>60</v>
      </c>
      <c r="K22" s="176">
        <v>60</v>
      </c>
      <c r="L22" s="176">
        <v>60</v>
      </c>
      <c r="M22" s="176">
        <v>60</v>
      </c>
      <c r="N22" s="176">
        <v>60</v>
      </c>
      <c r="O22" s="176"/>
    </row>
    <row r="23" spans="1:15" x14ac:dyDescent="0.25">
      <c r="A23" s="190" t="s">
        <v>144</v>
      </c>
      <c r="B23" s="184"/>
      <c r="C23" s="184"/>
      <c r="D23" s="184"/>
      <c r="E23" s="184"/>
      <c r="F23" s="184"/>
      <c r="G23" s="184"/>
      <c r="H23" s="184"/>
      <c r="I23" s="184"/>
      <c r="J23" s="184"/>
      <c r="K23" s="184"/>
      <c r="L23" s="184"/>
      <c r="M23" s="184"/>
      <c r="N23" s="184"/>
      <c r="O23" s="184"/>
    </row>
    <row r="24" spans="1:15" x14ac:dyDescent="0.25">
      <c r="A24" s="182" t="s">
        <v>145</v>
      </c>
      <c r="B24" s="176"/>
      <c r="C24" s="176">
        <v>600</v>
      </c>
      <c r="D24" s="176"/>
      <c r="E24" s="176"/>
      <c r="F24" s="176"/>
      <c r="G24" s="176"/>
      <c r="H24" s="176"/>
      <c r="I24" s="176"/>
      <c r="J24" s="176"/>
      <c r="K24" s="176"/>
      <c r="L24" s="176"/>
      <c r="M24" s="176"/>
      <c r="N24" s="176"/>
      <c r="O24" s="176"/>
    </row>
    <row r="25" spans="1:15" x14ac:dyDescent="0.25">
      <c r="A25" s="190" t="s">
        <v>146</v>
      </c>
      <c r="B25" s="184"/>
      <c r="C25" s="184"/>
      <c r="D25" s="184"/>
      <c r="E25" s="184"/>
      <c r="F25" s="184"/>
      <c r="G25" s="184"/>
      <c r="H25" s="184"/>
      <c r="I25" s="184"/>
      <c r="J25" s="184"/>
      <c r="K25" s="184"/>
      <c r="L25" s="184"/>
      <c r="M25" s="184"/>
      <c r="N25" s="184"/>
      <c r="O25" s="184"/>
    </row>
    <row r="26" spans="1:15" x14ac:dyDescent="0.25">
      <c r="A26" s="182" t="s">
        <v>109</v>
      </c>
      <c r="B26" s="176"/>
      <c r="C26" s="176"/>
      <c r="D26" s="176"/>
      <c r="E26" s="176"/>
      <c r="F26" s="176"/>
      <c r="G26" s="176"/>
      <c r="H26" s="176"/>
      <c r="I26" s="176"/>
      <c r="J26" s="176"/>
      <c r="K26" s="176"/>
      <c r="L26" s="176"/>
      <c r="M26" s="176"/>
      <c r="N26" s="176"/>
      <c r="O26" s="176"/>
    </row>
    <row r="27" spans="1:15" x14ac:dyDescent="0.25">
      <c r="A27" s="190" t="s">
        <v>110</v>
      </c>
      <c r="B27" s="184"/>
      <c r="C27" s="184"/>
      <c r="D27" s="184"/>
      <c r="E27" s="184"/>
      <c r="F27" s="184"/>
      <c r="G27" s="184"/>
      <c r="H27" s="184"/>
      <c r="I27" s="184"/>
      <c r="J27" s="184"/>
      <c r="K27" s="184"/>
      <c r="L27" s="184"/>
      <c r="M27" s="184"/>
      <c r="N27" s="184"/>
      <c r="O27" s="184"/>
    </row>
    <row r="28" spans="1:15" x14ac:dyDescent="0.25">
      <c r="A28" s="182" t="s">
        <v>111</v>
      </c>
      <c r="B28" s="176"/>
      <c r="C28" s="176">
        <v>50</v>
      </c>
      <c r="D28" s="176">
        <v>50</v>
      </c>
      <c r="E28" s="176">
        <v>50</v>
      </c>
      <c r="F28" s="176">
        <v>50</v>
      </c>
      <c r="G28" s="176">
        <v>50</v>
      </c>
      <c r="H28" s="176">
        <v>50</v>
      </c>
      <c r="I28" s="176">
        <v>50</v>
      </c>
      <c r="J28" s="176">
        <v>50</v>
      </c>
      <c r="K28" s="176">
        <v>50</v>
      </c>
      <c r="L28" s="176">
        <v>50</v>
      </c>
      <c r="M28" s="176">
        <v>50</v>
      </c>
      <c r="N28" s="176">
        <v>50</v>
      </c>
      <c r="O28" s="176"/>
    </row>
    <row r="29" spans="1:15" x14ac:dyDescent="0.25">
      <c r="A29" s="190" t="s">
        <v>112</v>
      </c>
      <c r="B29" s="184"/>
      <c r="C29" s="184"/>
      <c r="D29" s="184"/>
      <c r="E29" s="184"/>
      <c r="F29" s="184"/>
      <c r="G29" s="184"/>
      <c r="H29" s="184"/>
      <c r="I29" s="184"/>
      <c r="J29" s="184"/>
      <c r="K29" s="184"/>
      <c r="L29" s="184"/>
      <c r="M29" s="184"/>
      <c r="N29" s="184"/>
      <c r="O29" s="184"/>
    </row>
    <row r="30" spans="1:15" x14ac:dyDescent="0.25">
      <c r="A30" s="182" t="s">
        <v>113</v>
      </c>
      <c r="B30" s="176"/>
      <c r="C30" s="176"/>
      <c r="D30" s="176"/>
      <c r="E30" s="176"/>
      <c r="F30" s="176"/>
      <c r="G30" s="176"/>
      <c r="H30" s="176"/>
      <c r="I30" s="176"/>
      <c r="J30" s="176"/>
      <c r="K30" s="176"/>
      <c r="L30" s="176"/>
      <c r="M30" s="176"/>
      <c r="N30" s="176"/>
      <c r="O30" s="176"/>
    </row>
    <row r="31" spans="1:15" x14ac:dyDescent="0.25">
      <c r="A31" s="190" t="s">
        <v>115</v>
      </c>
      <c r="B31" s="184"/>
      <c r="C31" s="184">
        <v>200</v>
      </c>
      <c r="D31" s="184">
        <v>200</v>
      </c>
      <c r="E31" s="184">
        <v>200</v>
      </c>
      <c r="F31" s="184">
        <v>200</v>
      </c>
      <c r="G31" s="184">
        <v>200</v>
      </c>
      <c r="H31" s="184">
        <v>200</v>
      </c>
      <c r="I31" s="184">
        <v>200</v>
      </c>
      <c r="J31" s="184">
        <v>200</v>
      </c>
      <c r="K31" s="184">
        <v>200</v>
      </c>
      <c r="L31" s="184">
        <v>200</v>
      </c>
      <c r="M31" s="184">
        <v>200</v>
      </c>
      <c r="N31" s="184">
        <v>200</v>
      </c>
      <c r="O31" s="184"/>
    </row>
    <row r="32" spans="1:15" x14ac:dyDescent="0.25">
      <c r="A32" s="182" t="s">
        <v>147</v>
      </c>
      <c r="B32" s="176"/>
      <c r="C32" s="176"/>
      <c r="D32" s="176"/>
      <c r="E32" s="176"/>
      <c r="F32" s="176"/>
      <c r="G32" s="176"/>
      <c r="H32" s="176"/>
      <c r="I32" s="176"/>
      <c r="J32" s="176"/>
      <c r="K32" s="176"/>
      <c r="L32" s="176"/>
      <c r="M32" s="176"/>
      <c r="N32" s="176"/>
      <c r="O32" s="176"/>
    </row>
    <row r="33" spans="1:15" x14ac:dyDescent="0.25">
      <c r="A33" s="190" t="s">
        <v>147</v>
      </c>
      <c r="B33" s="184"/>
      <c r="C33" s="184"/>
      <c r="D33" s="184"/>
      <c r="E33" s="184"/>
      <c r="F33" s="184"/>
      <c r="G33" s="184"/>
      <c r="H33" s="184"/>
      <c r="I33" s="184"/>
      <c r="J33" s="184"/>
      <c r="K33" s="184"/>
      <c r="L33" s="184"/>
      <c r="M33" s="184"/>
      <c r="N33" s="184"/>
      <c r="O33" s="184"/>
    </row>
    <row r="34" spans="1:15" x14ac:dyDescent="0.25">
      <c r="A34" s="182" t="s">
        <v>148</v>
      </c>
      <c r="B34" s="176"/>
      <c r="C34" s="176"/>
      <c r="D34" s="176"/>
      <c r="E34" s="176"/>
      <c r="F34" s="176"/>
      <c r="G34" s="176"/>
      <c r="H34" s="176"/>
      <c r="I34" s="176"/>
      <c r="J34" s="176"/>
      <c r="K34" s="176"/>
      <c r="L34" s="176"/>
      <c r="M34" s="176"/>
      <c r="N34" s="176"/>
      <c r="O34" s="176"/>
    </row>
    <row r="35" spans="1:15" x14ac:dyDescent="0.25">
      <c r="A35" s="185" t="s">
        <v>149</v>
      </c>
      <c r="B35" s="186">
        <f>SUM(B14:B34)</f>
        <v>0</v>
      </c>
      <c r="C35" s="186">
        <f t="shared" ref="C35:O35" si="4">SUM(C14:C34)</f>
        <v>3690</v>
      </c>
      <c r="D35" s="186">
        <f t="shared" si="4"/>
        <v>555</v>
      </c>
      <c r="E35" s="186">
        <f t="shared" si="4"/>
        <v>555</v>
      </c>
      <c r="F35" s="186">
        <f t="shared" si="4"/>
        <v>555</v>
      </c>
      <c r="G35" s="186">
        <f t="shared" si="4"/>
        <v>555</v>
      </c>
      <c r="H35" s="186">
        <f t="shared" si="4"/>
        <v>555</v>
      </c>
      <c r="I35" s="186">
        <f t="shared" si="4"/>
        <v>555</v>
      </c>
      <c r="J35" s="186">
        <f t="shared" si="4"/>
        <v>555</v>
      </c>
      <c r="K35" s="186">
        <f t="shared" si="4"/>
        <v>555</v>
      </c>
      <c r="L35" s="186">
        <f t="shared" si="4"/>
        <v>555</v>
      </c>
      <c r="M35" s="186">
        <f t="shared" si="4"/>
        <v>555</v>
      </c>
      <c r="N35" s="186">
        <f t="shared" si="4"/>
        <v>555</v>
      </c>
      <c r="O35" s="186">
        <f t="shared" si="4"/>
        <v>0</v>
      </c>
    </row>
    <row r="36" spans="1:15" x14ac:dyDescent="0.25">
      <c r="A36" s="182" t="s">
        <v>150</v>
      </c>
      <c r="B36" s="176"/>
      <c r="C36" s="176"/>
      <c r="D36" s="176"/>
      <c r="E36" s="176"/>
      <c r="F36" s="176"/>
      <c r="G36" s="176"/>
      <c r="H36" s="176"/>
      <c r="I36" s="176"/>
      <c r="J36" s="176"/>
      <c r="K36" s="176"/>
      <c r="L36" s="176"/>
      <c r="M36" s="176"/>
      <c r="N36" s="176"/>
      <c r="O36" s="176"/>
    </row>
    <row r="37" spans="1:15" x14ac:dyDescent="0.25">
      <c r="A37" s="190" t="s">
        <v>151</v>
      </c>
      <c r="B37" s="184"/>
      <c r="C37" s="184"/>
      <c r="D37" s="184"/>
      <c r="E37" s="184"/>
      <c r="F37" s="184"/>
      <c r="G37" s="184"/>
      <c r="H37" s="184"/>
      <c r="I37" s="184"/>
      <c r="J37" s="184"/>
      <c r="K37" s="184"/>
      <c r="L37" s="184"/>
      <c r="M37" s="184"/>
      <c r="N37" s="184"/>
      <c r="O37" s="184"/>
    </row>
    <row r="38" spans="1:15" x14ac:dyDescent="0.25">
      <c r="A38" s="182" t="s">
        <v>152</v>
      </c>
      <c r="B38" s="176"/>
      <c r="C38" s="176"/>
      <c r="D38" s="176"/>
      <c r="E38" s="176"/>
      <c r="F38" s="176"/>
      <c r="G38" s="176"/>
      <c r="H38" s="176"/>
      <c r="I38" s="176"/>
      <c r="J38" s="176"/>
      <c r="K38" s="176"/>
      <c r="L38" s="176"/>
      <c r="M38" s="176"/>
      <c r="N38" s="176"/>
      <c r="O38" s="176"/>
    </row>
    <row r="39" spans="1:15" x14ac:dyDescent="0.25">
      <c r="A39" s="190" t="s">
        <v>153</v>
      </c>
      <c r="B39" s="184"/>
      <c r="C39" s="184"/>
      <c r="D39" s="184"/>
      <c r="E39" s="184"/>
      <c r="F39" s="184"/>
      <c r="G39" s="184"/>
      <c r="H39" s="184"/>
      <c r="I39" s="184"/>
      <c r="J39" s="184"/>
      <c r="K39" s="184"/>
      <c r="L39" s="184"/>
      <c r="M39" s="184"/>
      <c r="N39" s="184"/>
      <c r="O39" s="184"/>
    </row>
    <row r="40" spans="1:15" x14ac:dyDescent="0.25">
      <c r="A40" s="182" t="s">
        <v>154</v>
      </c>
      <c r="B40" s="176"/>
      <c r="C40" s="176"/>
      <c r="D40" s="176"/>
      <c r="E40" s="176"/>
      <c r="F40" s="176"/>
      <c r="G40" s="176"/>
      <c r="H40" s="176"/>
      <c r="I40" s="176"/>
      <c r="J40" s="176"/>
      <c r="K40" s="176"/>
      <c r="L40" s="176"/>
      <c r="M40" s="176"/>
      <c r="N40" s="176"/>
      <c r="O40" s="176"/>
    </row>
    <row r="41" spans="1:15" x14ac:dyDescent="0.25">
      <c r="A41" s="185" t="s">
        <v>155</v>
      </c>
      <c r="B41" s="186">
        <f>SUM(B35:B40)</f>
        <v>0</v>
      </c>
      <c r="C41" s="186">
        <f t="shared" ref="C41:O41" si="5">SUM(C35:C40)</f>
        <v>3690</v>
      </c>
      <c r="D41" s="186">
        <f t="shared" si="5"/>
        <v>555</v>
      </c>
      <c r="E41" s="186">
        <f t="shared" si="5"/>
        <v>555</v>
      </c>
      <c r="F41" s="186">
        <f t="shared" si="5"/>
        <v>555</v>
      </c>
      <c r="G41" s="186">
        <f t="shared" si="5"/>
        <v>555</v>
      </c>
      <c r="H41" s="186">
        <f t="shared" si="5"/>
        <v>555</v>
      </c>
      <c r="I41" s="186">
        <f t="shared" si="5"/>
        <v>555</v>
      </c>
      <c r="J41" s="186">
        <f t="shared" si="5"/>
        <v>555</v>
      </c>
      <c r="K41" s="186">
        <f t="shared" si="5"/>
        <v>555</v>
      </c>
      <c r="L41" s="186">
        <f t="shared" si="5"/>
        <v>555</v>
      </c>
      <c r="M41" s="186">
        <f t="shared" si="5"/>
        <v>555</v>
      </c>
      <c r="N41" s="186">
        <f t="shared" si="5"/>
        <v>555</v>
      </c>
      <c r="O41" s="186">
        <f t="shared" si="5"/>
        <v>0</v>
      </c>
    </row>
    <row r="42" spans="1:15" x14ac:dyDescent="0.25">
      <c r="A42" s="175" t="s">
        <v>156</v>
      </c>
      <c r="B42" s="186">
        <f>(B11-B41)</f>
        <v>0</v>
      </c>
      <c r="C42" s="186">
        <f t="shared" ref="C42:O42" si="6">(C11-C41)</f>
        <v>1365</v>
      </c>
      <c r="D42" s="186">
        <f t="shared" si="6"/>
        <v>810</v>
      </c>
      <c r="E42" s="186">
        <f t="shared" si="6"/>
        <v>255</v>
      </c>
      <c r="F42" s="186">
        <f t="shared" si="6"/>
        <v>-300</v>
      </c>
      <c r="G42" s="186">
        <f t="shared" si="6"/>
        <v>-855</v>
      </c>
      <c r="H42" s="186">
        <f t="shared" si="6"/>
        <v>-1410</v>
      </c>
      <c r="I42" s="186">
        <f t="shared" si="6"/>
        <v>-1965</v>
      </c>
      <c r="J42" s="186">
        <f t="shared" si="6"/>
        <v>-2520</v>
      </c>
      <c r="K42" s="186">
        <f t="shared" si="6"/>
        <v>-3075</v>
      </c>
      <c r="L42" s="186">
        <f t="shared" si="6"/>
        <v>-3630</v>
      </c>
      <c r="M42" s="186">
        <f t="shared" si="6"/>
        <v>-4185</v>
      </c>
      <c r="N42" s="186">
        <f t="shared" si="6"/>
        <v>-4740</v>
      </c>
      <c r="O42" s="186">
        <f t="shared" si="6"/>
        <v>4500</v>
      </c>
    </row>
    <row r="43" spans="1:15" x14ac:dyDescent="0.25">
      <c r="A43" s="171"/>
    </row>
    <row r="44" spans="1:15" x14ac:dyDescent="0.25">
      <c r="A44" s="191" t="s">
        <v>157</v>
      </c>
      <c r="B44" s="192"/>
      <c r="C44" s="192"/>
      <c r="D44" s="192"/>
      <c r="E44" s="192"/>
      <c r="F44" s="192"/>
      <c r="G44" s="192"/>
      <c r="H44" s="192"/>
      <c r="I44" s="192"/>
      <c r="J44" s="192"/>
      <c r="K44" s="192"/>
      <c r="L44" s="192"/>
      <c r="M44" s="192"/>
      <c r="N44" s="192"/>
      <c r="O44" s="193"/>
    </row>
    <row r="45" spans="1:15" x14ac:dyDescent="0.25">
      <c r="A45" s="182" t="s">
        <v>158</v>
      </c>
      <c r="B45" s="176"/>
      <c r="C45" s="176"/>
      <c r="D45" s="176"/>
      <c r="E45" s="176"/>
      <c r="F45" s="176"/>
      <c r="G45" s="176"/>
      <c r="H45" s="176"/>
      <c r="I45" s="176"/>
      <c r="J45" s="176"/>
      <c r="K45" s="176"/>
      <c r="L45" s="176"/>
      <c r="M45" s="176"/>
      <c r="N45" s="176"/>
      <c r="O45" s="176"/>
    </row>
    <row r="46" spans="1:15" x14ac:dyDescent="0.25">
      <c r="A46" s="190" t="s">
        <v>159</v>
      </c>
      <c r="B46" s="184"/>
      <c r="C46" s="184"/>
      <c r="D46" s="184"/>
      <c r="E46" s="184"/>
      <c r="F46" s="184"/>
      <c r="G46" s="184"/>
      <c r="H46" s="184"/>
      <c r="I46" s="184"/>
      <c r="J46" s="184"/>
      <c r="K46" s="184"/>
      <c r="L46" s="184"/>
      <c r="M46" s="184"/>
      <c r="N46" s="184"/>
      <c r="O46" s="184"/>
    </row>
    <row r="47" spans="1:15" x14ac:dyDescent="0.25">
      <c r="A47" s="182" t="s">
        <v>160</v>
      </c>
      <c r="B47" s="176"/>
      <c r="C47" s="176"/>
      <c r="D47" s="176"/>
      <c r="E47" s="176"/>
      <c r="F47" s="176"/>
      <c r="G47" s="176"/>
      <c r="H47" s="176"/>
      <c r="I47" s="176"/>
      <c r="J47" s="176"/>
      <c r="K47" s="176"/>
      <c r="L47" s="176"/>
      <c r="M47" s="176"/>
      <c r="N47" s="176"/>
      <c r="O47" s="176"/>
    </row>
    <row r="48" spans="1:15" x14ac:dyDescent="0.25">
      <c r="A48" s="183" t="s">
        <v>161</v>
      </c>
      <c r="B48" s="184"/>
      <c r="C48" s="184"/>
      <c r="D48" s="184"/>
      <c r="E48" s="184"/>
      <c r="F48" s="184"/>
      <c r="G48" s="184"/>
      <c r="H48" s="184"/>
      <c r="I48" s="184"/>
      <c r="J48" s="184"/>
      <c r="K48" s="184"/>
      <c r="L48" s="184"/>
      <c r="M48" s="184"/>
      <c r="N48" s="184"/>
      <c r="O48" s="184"/>
    </row>
    <row r="49" spans="1:15" x14ac:dyDescent="0.25">
      <c r="A49" s="182" t="s">
        <v>162</v>
      </c>
      <c r="B49" s="176"/>
      <c r="C49" s="176"/>
      <c r="D49" s="176"/>
      <c r="E49" s="176"/>
      <c r="F49" s="176"/>
      <c r="G49" s="176"/>
      <c r="H49" s="176"/>
      <c r="I49" s="176"/>
      <c r="J49" s="176"/>
      <c r="K49" s="176"/>
      <c r="L49" s="176"/>
      <c r="M49" s="176"/>
      <c r="N49" s="176"/>
      <c r="O49" s="176"/>
    </row>
    <row r="50" spans="1:15" x14ac:dyDescent="0.25">
      <c r="A50" s="190" t="s">
        <v>114</v>
      </c>
      <c r="B50" s="184"/>
      <c r="C50" s="184"/>
      <c r="D50" s="184"/>
      <c r="E50" s="184"/>
      <c r="F50" s="184"/>
      <c r="G50" s="184"/>
      <c r="H50" s="184"/>
      <c r="I50" s="184"/>
      <c r="J50" s="184"/>
      <c r="K50" s="184"/>
      <c r="L50" s="184"/>
      <c r="M50" s="184"/>
      <c r="N50" s="184"/>
      <c r="O50" s="184"/>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7629-02C8-423F-B9F0-64FF0E7C246C}">
  <dimension ref="A1:E62"/>
  <sheetViews>
    <sheetView tabSelected="1" topLeftCell="A5" workbookViewId="0">
      <selection activeCell="C58" sqref="C58"/>
    </sheetView>
  </sheetViews>
  <sheetFormatPr defaultRowHeight="13.2" x14ac:dyDescent="0.25"/>
  <cols>
    <col min="1" max="1" width="26.6640625" customWidth="1"/>
    <col min="2" max="2" width="2.6640625" customWidth="1"/>
    <col min="3" max="3" width="15.6640625" customWidth="1"/>
  </cols>
  <sheetData>
    <row r="1" spans="1:5" ht="96" customHeight="1" x14ac:dyDescent="0.25"/>
    <row r="2" spans="1:5" ht="22.8" x14ac:dyDescent="0.4">
      <c r="A2" s="217" t="s">
        <v>183</v>
      </c>
      <c r="B2" s="217"/>
      <c r="C2" s="218"/>
      <c r="D2" s="218"/>
      <c r="E2" s="218"/>
    </row>
    <row r="3" spans="1:5" ht="15" x14ac:dyDescent="0.25">
      <c r="A3" s="99" t="s">
        <v>75</v>
      </c>
      <c r="B3" s="219"/>
      <c r="C3" s="218"/>
      <c r="D3" s="218"/>
      <c r="E3" s="218"/>
    </row>
    <row r="4" spans="1:5" x14ac:dyDescent="0.25">
      <c r="A4" s="219"/>
      <c r="B4" s="219"/>
      <c r="C4" s="218"/>
      <c r="D4" s="218"/>
      <c r="E4" s="218"/>
    </row>
    <row r="5" spans="1:5" x14ac:dyDescent="0.25">
      <c r="A5" s="219"/>
      <c r="B5" s="219"/>
      <c r="C5" s="220" t="s">
        <v>184</v>
      </c>
      <c r="D5" s="221"/>
      <c r="E5" s="220" t="s">
        <v>185</v>
      </c>
    </row>
    <row r="6" spans="1:5" x14ac:dyDescent="0.25">
      <c r="A6" s="219"/>
      <c r="B6" s="219"/>
      <c r="C6" s="222" t="s">
        <v>186</v>
      </c>
      <c r="D6" s="218"/>
      <c r="E6" s="222" t="s">
        <v>186</v>
      </c>
    </row>
    <row r="7" spans="1:5" ht="12.75" customHeight="1" x14ac:dyDescent="0.25">
      <c r="A7" s="223" t="s">
        <v>187</v>
      </c>
      <c r="B7" s="223"/>
      <c r="C7" s="224"/>
      <c r="D7" s="224"/>
      <c r="E7" s="224"/>
    </row>
    <row r="8" spans="1:5" ht="12.75" customHeight="1" x14ac:dyDescent="0.25">
      <c r="A8" s="225"/>
      <c r="B8" s="225"/>
      <c r="C8" s="224"/>
      <c r="D8" s="224"/>
      <c r="E8" s="224"/>
    </row>
    <row r="9" spans="1:5" ht="12.75" customHeight="1" x14ac:dyDescent="0.25">
      <c r="A9" s="226" t="s">
        <v>188</v>
      </c>
      <c r="B9" s="227"/>
      <c r="C9" s="224"/>
      <c r="D9" s="224"/>
      <c r="E9" s="224"/>
    </row>
    <row r="10" spans="1:5" ht="12.75" customHeight="1" x14ac:dyDescent="0.25">
      <c r="A10" s="225" t="s">
        <v>189</v>
      </c>
      <c r="B10" s="225"/>
      <c r="C10" s="228">
        <v>8352</v>
      </c>
      <c r="D10" s="224"/>
      <c r="E10" s="228">
        <v>0</v>
      </c>
    </row>
    <row r="11" spans="1:5" ht="12.75" customHeight="1" x14ac:dyDescent="0.25">
      <c r="A11" s="225" t="s">
        <v>190</v>
      </c>
      <c r="B11" s="225"/>
      <c r="C11" s="224">
        <v>0</v>
      </c>
      <c r="D11" s="224"/>
      <c r="E11" s="224">
        <v>0</v>
      </c>
    </row>
    <row r="12" spans="1:5" ht="12.75" customHeight="1" x14ac:dyDescent="0.25">
      <c r="A12" s="225" t="s">
        <v>170</v>
      </c>
      <c r="B12" s="225"/>
      <c r="C12" s="224">
        <v>225</v>
      </c>
      <c r="D12" s="224"/>
      <c r="E12" s="224">
        <v>0</v>
      </c>
    </row>
    <row r="13" spans="1:5" ht="12.75" customHeight="1" x14ac:dyDescent="0.25">
      <c r="A13" s="225" t="s">
        <v>191</v>
      </c>
      <c r="B13" s="225"/>
      <c r="C13" s="224">
        <v>0</v>
      </c>
      <c r="D13" s="224"/>
      <c r="E13" s="224">
        <v>0</v>
      </c>
    </row>
    <row r="14" spans="1:5" ht="12.75" customHeight="1" x14ac:dyDescent="0.25">
      <c r="A14" s="225" t="s">
        <v>192</v>
      </c>
      <c r="B14" s="225"/>
      <c r="C14" s="224">
        <v>0</v>
      </c>
      <c r="D14" s="224"/>
      <c r="E14" s="224">
        <v>0</v>
      </c>
    </row>
    <row r="15" spans="1:5" ht="12.75" customHeight="1" x14ac:dyDescent="0.25">
      <c r="A15" s="223" t="s">
        <v>193</v>
      </c>
      <c r="B15" s="227"/>
      <c r="C15" s="229">
        <f>SUM(C10:C14)</f>
        <v>8577</v>
      </c>
      <c r="D15" s="224"/>
      <c r="E15" s="229">
        <f>SUM(E10:E14)</f>
        <v>0</v>
      </c>
    </row>
    <row r="16" spans="1:5" ht="12.75" customHeight="1" x14ac:dyDescent="0.25">
      <c r="A16" s="225"/>
      <c r="B16" s="225"/>
      <c r="C16" s="224"/>
      <c r="D16" s="224"/>
      <c r="E16" s="224"/>
    </row>
    <row r="17" spans="1:5" ht="12.75" customHeight="1" x14ac:dyDescent="0.25">
      <c r="A17" s="226" t="s">
        <v>194</v>
      </c>
      <c r="B17" s="227"/>
      <c r="C17" s="224"/>
      <c r="D17" s="224"/>
      <c r="E17" s="224"/>
    </row>
    <row r="18" spans="1:5" ht="12.75" customHeight="1" x14ac:dyDescent="0.25">
      <c r="A18" s="225" t="s">
        <v>195</v>
      </c>
      <c r="B18" s="225"/>
      <c r="C18" s="228">
        <v>1950</v>
      </c>
      <c r="D18" s="224"/>
      <c r="E18" s="228">
        <v>0</v>
      </c>
    </row>
    <row r="19" spans="1:5" ht="12.75" customHeight="1" x14ac:dyDescent="0.25">
      <c r="A19" s="225" t="s">
        <v>196</v>
      </c>
      <c r="B19" s="225"/>
      <c r="C19" s="224">
        <v>0</v>
      </c>
      <c r="D19" s="224"/>
      <c r="E19" s="224">
        <v>0</v>
      </c>
    </row>
    <row r="20" spans="1:5" ht="12.75" customHeight="1" x14ac:dyDescent="0.25">
      <c r="A20" s="225" t="s">
        <v>197</v>
      </c>
      <c r="B20" s="225"/>
      <c r="C20" s="224">
        <v>0</v>
      </c>
      <c r="D20" s="224"/>
      <c r="E20" s="224">
        <v>0</v>
      </c>
    </row>
    <row r="21" spans="1:5" ht="12.75" customHeight="1" x14ac:dyDescent="0.25">
      <c r="A21" s="225" t="s">
        <v>198</v>
      </c>
      <c r="B21" s="225"/>
      <c r="C21" s="224">
        <v>0</v>
      </c>
      <c r="D21" s="224"/>
      <c r="E21" s="224">
        <v>0</v>
      </c>
    </row>
    <row r="22" spans="1:5" ht="12.75" customHeight="1" x14ac:dyDescent="0.25">
      <c r="A22" s="225" t="s">
        <v>199</v>
      </c>
      <c r="B22" s="225"/>
      <c r="C22" s="224">
        <v>0</v>
      </c>
      <c r="D22" s="224"/>
      <c r="E22" s="224">
        <v>0</v>
      </c>
    </row>
    <row r="23" spans="1:5" ht="12.75" customHeight="1" x14ac:dyDescent="0.25">
      <c r="A23" s="225" t="s">
        <v>200</v>
      </c>
      <c r="B23" s="225"/>
      <c r="C23" s="230">
        <v>-650</v>
      </c>
      <c r="D23" s="224"/>
      <c r="E23" s="224">
        <v>0</v>
      </c>
    </row>
    <row r="24" spans="1:5" ht="12.75" customHeight="1" x14ac:dyDescent="0.25">
      <c r="A24" s="223" t="s">
        <v>201</v>
      </c>
      <c r="B24" s="227"/>
      <c r="C24" s="229">
        <f>SUM(C18:C23)</f>
        <v>1300</v>
      </c>
      <c r="D24" s="224"/>
      <c r="E24" s="229">
        <f>SUM(E18:E23)</f>
        <v>0</v>
      </c>
    </row>
    <row r="25" spans="1:5" ht="12.75" customHeight="1" x14ac:dyDescent="0.25">
      <c r="A25" s="225"/>
      <c r="B25" s="225"/>
      <c r="C25" s="224"/>
      <c r="D25" s="224"/>
      <c r="E25" s="224"/>
    </row>
    <row r="26" spans="1:5" ht="12.75" customHeight="1" x14ac:dyDescent="0.25">
      <c r="A26" s="226" t="s">
        <v>202</v>
      </c>
      <c r="B26" s="227"/>
      <c r="C26" s="224"/>
      <c r="D26" s="224"/>
      <c r="E26" s="224"/>
    </row>
    <row r="27" spans="1:5" ht="12.75" customHeight="1" x14ac:dyDescent="0.25">
      <c r="A27" s="225" t="s">
        <v>203</v>
      </c>
      <c r="B27" s="225"/>
      <c r="C27" s="228">
        <v>0</v>
      </c>
      <c r="D27" s="224"/>
      <c r="E27" s="228">
        <v>0</v>
      </c>
    </row>
    <row r="28" spans="1:5" ht="12.75" customHeight="1" x14ac:dyDescent="0.25">
      <c r="A28" s="225" t="s">
        <v>204</v>
      </c>
      <c r="B28" s="225"/>
      <c r="C28" s="224">
        <v>0</v>
      </c>
      <c r="D28" s="224"/>
      <c r="E28" s="224">
        <v>0</v>
      </c>
    </row>
    <row r="29" spans="1:5" ht="12.75" customHeight="1" x14ac:dyDescent="0.25">
      <c r="A29" s="225" t="s">
        <v>205</v>
      </c>
      <c r="B29" s="225"/>
      <c r="C29" s="224">
        <v>0</v>
      </c>
      <c r="D29" s="224"/>
      <c r="E29" s="224">
        <v>0</v>
      </c>
    </row>
    <row r="30" spans="1:5" ht="12.75" customHeight="1" x14ac:dyDescent="0.25">
      <c r="A30" s="225" t="s">
        <v>206</v>
      </c>
      <c r="B30" s="225"/>
      <c r="C30" s="224">
        <v>0</v>
      </c>
      <c r="D30" s="224"/>
      <c r="E30" s="224">
        <v>0</v>
      </c>
    </row>
    <row r="31" spans="1:5" ht="12.75" customHeight="1" x14ac:dyDescent="0.25">
      <c r="A31" s="231" t="s">
        <v>207</v>
      </c>
      <c r="B31" s="232"/>
      <c r="C31" s="229">
        <f>SUM(C27:C30)</f>
        <v>0</v>
      </c>
      <c r="D31" s="224"/>
      <c r="E31" s="229">
        <f>SUM(E27:E30)</f>
        <v>0</v>
      </c>
    </row>
    <row r="32" spans="1:5" ht="12.75" customHeight="1" x14ac:dyDescent="0.25">
      <c r="A32" s="225"/>
      <c r="B32" s="225"/>
      <c r="C32" s="224"/>
      <c r="D32" s="224"/>
      <c r="E32" s="224"/>
    </row>
    <row r="33" spans="1:5" ht="12.75" customHeight="1" thickBot="1" x14ac:dyDescent="0.3">
      <c r="A33" s="223" t="s">
        <v>208</v>
      </c>
      <c r="B33" s="223"/>
      <c r="C33" s="233">
        <f>SUM(C15,C24,C31)</f>
        <v>9877</v>
      </c>
      <c r="D33" s="224"/>
      <c r="E33" s="233">
        <f>SUM(E15,E24,E31)</f>
        <v>0</v>
      </c>
    </row>
    <row r="34" spans="1:5" ht="12.75" customHeight="1" thickTop="1" x14ac:dyDescent="0.25">
      <c r="A34" s="225"/>
      <c r="B34" s="225"/>
      <c r="C34" s="224"/>
      <c r="D34" s="224"/>
      <c r="E34" s="224"/>
    </row>
    <row r="35" spans="1:5" ht="12.75" customHeight="1" x14ac:dyDescent="0.25">
      <c r="A35" s="223" t="s">
        <v>209</v>
      </c>
      <c r="B35" s="223"/>
      <c r="C35" s="224"/>
      <c r="D35" s="224"/>
      <c r="E35" s="224"/>
    </row>
    <row r="36" spans="1:5" ht="12.75" customHeight="1" x14ac:dyDescent="0.25">
      <c r="A36" s="223"/>
      <c r="B36" s="223"/>
      <c r="C36" s="224"/>
      <c r="D36" s="224"/>
      <c r="E36" s="224"/>
    </row>
    <row r="37" spans="1:5" ht="12.75" customHeight="1" x14ac:dyDescent="0.25">
      <c r="A37" s="226" t="s">
        <v>210</v>
      </c>
      <c r="B37" s="227"/>
      <c r="C37" s="224"/>
      <c r="D37" s="224"/>
      <c r="E37" s="224"/>
    </row>
    <row r="38" spans="1:5" ht="12.75" customHeight="1" x14ac:dyDescent="0.25">
      <c r="A38" s="225" t="s">
        <v>211</v>
      </c>
      <c r="B38" s="225"/>
      <c r="C38" s="228">
        <v>0</v>
      </c>
      <c r="D38" s="224"/>
      <c r="E38" s="228">
        <v>0</v>
      </c>
    </row>
    <row r="39" spans="1:5" ht="12.75" customHeight="1" x14ac:dyDescent="0.25">
      <c r="A39" s="225" t="s">
        <v>212</v>
      </c>
      <c r="B39" s="225"/>
      <c r="C39" s="224">
        <v>0</v>
      </c>
      <c r="D39" s="224"/>
      <c r="E39" s="224">
        <v>0</v>
      </c>
    </row>
    <row r="40" spans="1:5" ht="12.75" customHeight="1" x14ac:dyDescent="0.25">
      <c r="A40" s="225" t="s">
        <v>213</v>
      </c>
      <c r="B40" s="225"/>
      <c r="C40" s="224">
        <v>0</v>
      </c>
      <c r="D40" s="224"/>
      <c r="E40" s="224">
        <v>0</v>
      </c>
    </row>
    <row r="41" spans="1:5" ht="12.75" customHeight="1" x14ac:dyDescent="0.25">
      <c r="A41" s="225" t="s">
        <v>214</v>
      </c>
      <c r="B41" s="225"/>
      <c r="C41" s="224">
        <v>0</v>
      </c>
      <c r="D41" s="224"/>
      <c r="E41" s="224">
        <v>0</v>
      </c>
    </row>
    <row r="42" spans="1:5" ht="12.75" customHeight="1" x14ac:dyDescent="0.25">
      <c r="A42" s="225" t="s">
        <v>215</v>
      </c>
      <c r="B42" s="225"/>
      <c r="C42" s="224">
        <v>0</v>
      </c>
      <c r="D42" s="224"/>
      <c r="E42" s="224">
        <v>0</v>
      </c>
    </row>
    <row r="43" spans="1:5" ht="12.75" customHeight="1" x14ac:dyDescent="0.25">
      <c r="A43" s="225" t="s">
        <v>216</v>
      </c>
      <c r="B43" s="225"/>
      <c r="C43" s="224">
        <v>0</v>
      </c>
      <c r="D43" s="224"/>
      <c r="E43" s="224">
        <v>0</v>
      </c>
    </row>
    <row r="44" spans="1:5" ht="12.75" customHeight="1" x14ac:dyDescent="0.25">
      <c r="A44" s="223" t="s">
        <v>217</v>
      </c>
      <c r="B44" s="227"/>
      <c r="C44" s="229">
        <f>SUM(C38:C43)</f>
        <v>0</v>
      </c>
      <c r="D44" s="224"/>
      <c r="E44" s="229">
        <f>SUM(E38:E43)</f>
        <v>0</v>
      </c>
    </row>
    <row r="45" spans="1:5" ht="12.75" customHeight="1" x14ac:dyDescent="0.25">
      <c r="A45" s="225"/>
      <c r="B45" s="225"/>
      <c r="C45" s="224"/>
      <c r="D45" s="224"/>
      <c r="E45" s="224"/>
    </row>
    <row r="46" spans="1:5" ht="12.75" customHeight="1" x14ac:dyDescent="0.25">
      <c r="A46" s="226" t="s">
        <v>218</v>
      </c>
      <c r="B46" s="227"/>
      <c r="C46" s="224"/>
      <c r="D46" s="224"/>
      <c r="E46" s="224"/>
    </row>
    <row r="47" spans="1:5" ht="12.75" customHeight="1" x14ac:dyDescent="0.25">
      <c r="A47" s="225" t="s">
        <v>219</v>
      </c>
      <c r="B47" s="225"/>
      <c r="C47" s="228">
        <v>0</v>
      </c>
      <c r="D47" s="224"/>
      <c r="E47" s="228">
        <v>0</v>
      </c>
    </row>
    <row r="48" spans="1:5" ht="12.75" customHeight="1" x14ac:dyDescent="0.25">
      <c r="A48" s="225" t="s">
        <v>220</v>
      </c>
      <c r="B48" s="225"/>
      <c r="C48" s="224">
        <v>0</v>
      </c>
      <c r="D48" s="224"/>
      <c r="E48" s="224">
        <v>0</v>
      </c>
    </row>
    <row r="49" spans="1:5" ht="12.75" customHeight="1" x14ac:dyDescent="0.25">
      <c r="A49" s="225" t="s">
        <v>221</v>
      </c>
      <c r="B49" s="225"/>
      <c r="C49" s="224">
        <f>-C42</f>
        <v>0</v>
      </c>
      <c r="D49" s="224"/>
      <c r="E49" s="224">
        <f>-E42</f>
        <v>0</v>
      </c>
    </row>
    <row r="50" spans="1:5" ht="12.75" customHeight="1" x14ac:dyDescent="0.25">
      <c r="A50" s="225" t="s">
        <v>222</v>
      </c>
      <c r="B50" s="225"/>
      <c r="C50" s="224">
        <v>0</v>
      </c>
      <c r="D50" s="224"/>
      <c r="E50" s="224">
        <v>0</v>
      </c>
    </row>
    <row r="51" spans="1:5" ht="12.75" customHeight="1" x14ac:dyDescent="0.25">
      <c r="A51" s="223" t="s">
        <v>223</v>
      </c>
      <c r="B51" s="227"/>
      <c r="C51" s="229">
        <f>SUM(C47:C50)</f>
        <v>0</v>
      </c>
      <c r="D51" s="224"/>
      <c r="E51" s="229">
        <f>SUM(E47:E50)</f>
        <v>0</v>
      </c>
    </row>
    <row r="52" spans="1:5" ht="12.75" customHeight="1" x14ac:dyDescent="0.25">
      <c r="A52" s="225"/>
      <c r="B52" s="225"/>
      <c r="C52" s="224"/>
      <c r="D52" s="224"/>
      <c r="E52" s="224"/>
    </row>
    <row r="53" spans="1:5" ht="12.75" customHeight="1" thickBot="1" x14ac:dyDescent="0.3">
      <c r="A53" s="223" t="s">
        <v>224</v>
      </c>
      <c r="B53" s="223"/>
      <c r="C53" s="233">
        <f>(C44+C51)</f>
        <v>0</v>
      </c>
      <c r="D53" s="224"/>
      <c r="E53" s="233">
        <f>(E44+E51)</f>
        <v>0</v>
      </c>
    </row>
    <row r="54" spans="1:5" ht="12.75" customHeight="1" thickTop="1" x14ac:dyDescent="0.25">
      <c r="A54" s="225"/>
      <c r="B54" s="225"/>
      <c r="C54" s="224"/>
      <c r="D54" s="224"/>
      <c r="E54" s="224"/>
    </row>
    <row r="55" spans="1:5" ht="12.75" customHeight="1" x14ac:dyDescent="0.25">
      <c r="A55" s="226" t="s">
        <v>225</v>
      </c>
      <c r="B55" s="227"/>
      <c r="C55" s="224"/>
      <c r="D55" s="224"/>
      <c r="E55" s="224"/>
    </row>
    <row r="56" spans="1:5" ht="12.75" customHeight="1" x14ac:dyDescent="0.25">
      <c r="A56" s="225" t="s">
        <v>226</v>
      </c>
      <c r="B56" s="225"/>
      <c r="C56" s="228">
        <v>4500</v>
      </c>
      <c r="D56" s="224"/>
      <c r="E56" s="228">
        <v>0</v>
      </c>
    </row>
    <row r="57" spans="1:5" ht="12.75" customHeight="1" x14ac:dyDescent="0.25">
      <c r="A57" s="225" t="s">
        <v>227</v>
      </c>
      <c r="B57" s="225"/>
      <c r="C57" s="224">
        <v>5377</v>
      </c>
      <c r="D57" s="224"/>
      <c r="E57" s="224">
        <v>0</v>
      </c>
    </row>
    <row r="58" spans="1:5" ht="12.75" customHeight="1" x14ac:dyDescent="0.25">
      <c r="A58" s="225" t="s">
        <v>228</v>
      </c>
      <c r="B58" s="225"/>
      <c r="C58" s="224">
        <v>0</v>
      </c>
      <c r="D58" s="224"/>
      <c r="E58" s="224">
        <v>0</v>
      </c>
    </row>
    <row r="59" spans="1:5" ht="12.75" customHeight="1" x14ac:dyDescent="0.25">
      <c r="A59" s="223" t="s">
        <v>229</v>
      </c>
      <c r="B59" s="227"/>
      <c r="C59" s="229">
        <f>SUM(C56:C58)</f>
        <v>9877</v>
      </c>
      <c r="D59" s="224"/>
      <c r="E59" s="229">
        <f>SUM(E56:E58)</f>
        <v>0</v>
      </c>
    </row>
    <row r="60" spans="1:5" ht="12.75" customHeight="1" x14ac:dyDescent="0.25">
      <c r="A60" s="225"/>
      <c r="B60" s="225"/>
      <c r="C60" s="224"/>
      <c r="D60" s="224"/>
      <c r="E60" s="224"/>
    </row>
    <row r="61" spans="1:5" ht="12.75" customHeight="1" thickBot="1" x14ac:dyDescent="0.3">
      <c r="A61" s="223" t="s">
        <v>230</v>
      </c>
      <c r="B61" s="223"/>
      <c r="C61" s="233">
        <f>C53+C59</f>
        <v>9877</v>
      </c>
      <c r="D61" s="224"/>
      <c r="E61" s="233">
        <f>E53+E59</f>
        <v>0</v>
      </c>
    </row>
    <row r="62" spans="1:5" ht="13.8" thickTop="1" x14ac:dyDescent="0.25">
      <c r="A62" s="219"/>
      <c r="B62" s="219"/>
      <c r="C62" s="218"/>
      <c r="D62" s="218"/>
      <c r="E62" s="218"/>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53F2-FEBF-4357-98C2-76EF0B7A3909}">
  <dimension ref="A2:E41"/>
  <sheetViews>
    <sheetView workbookViewId="0">
      <selection activeCell="D9" sqref="D9"/>
    </sheetView>
  </sheetViews>
  <sheetFormatPr defaultColWidth="8.109375" defaultRowHeight="11.4" x14ac:dyDescent="0.2"/>
  <cols>
    <col min="1" max="1" width="27.5546875" style="194" customWidth="1"/>
    <col min="2" max="2" width="15.33203125" style="194" customWidth="1"/>
    <col min="3" max="3" width="2.44140625" style="194" customWidth="1"/>
    <col min="4" max="4" width="18" style="194" customWidth="1"/>
    <col min="5" max="256" width="8.109375" style="194"/>
    <col min="257" max="257" width="27.5546875" style="194" customWidth="1"/>
    <col min="258" max="258" width="15.33203125" style="194" customWidth="1"/>
    <col min="259" max="259" width="2.44140625" style="194" customWidth="1"/>
    <col min="260" max="260" width="18" style="194" customWidth="1"/>
    <col min="261" max="512" width="8.109375" style="194"/>
    <col min="513" max="513" width="27.5546875" style="194" customWidth="1"/>
    <col min="514" max="514" width="15.33203125" style="194" customWidth="1"/>
    <col min="515" max="515" width="2.44140625" style="194" customWidth="1"/>
    <col min="516" max="516" width="18" style="194" customWidth="1"/>
    <col min="517" max="768" width="8.109375" style="194"/>
    <col min="769" max="769" width="27.5546875" style="194" customWidth="1"/>
    <col min="770" max="770" width="15.33203125" style="194" customWidth="1"/>
    <col min="771" max="771" width="2.44140625" style="194" customWidth="1"/>
    <col min="772" max="772" width="18" style="194" customWidth="1"/>
    <col min="773" max="1024" width="8.109375" style="194"/>
    <col min="1025" max="1025" width="27.5546875" style="194" customWidth="1"/>
    <col min="1026" max="1026" width="15.33203125" style="194" customWidth="1"/>
    <col min="1027" max="1027" width="2.44140625" style="194" customWidth="1"/>
    <col min="1028" max="1028" width="18" style="194" customWidth="1"/>
    <col min="1029" max="1280" width="8.109375" style="194"/>
    <col min="1281" max="1281" width="27.5546875" style="194" customWidth="1"/>
    <col min="1282" max="1282" width="15.33203125" style="194" customWidth="1"/>
    <col min="1283" max="1283" width="2.44140625" style="194" customWidth="1"/>
    <col min="1284" max="1284" width="18" style="194" customWidth="1"/>
    <col min="1285" max="1536" width="8.109375" style="194"/>
    <col min="1537" max="1537" width="27.5546875" style="194" customWidth="1"/>
    <col min="1538" max="1538" width="15.33203125" style="194" customWidth="1"/>
    <col min="1539" max="1539" width="2.44140625" style="194" customWidth="1"/>
    <col min="1540" max="1540" width="18" style="194" customWidth="1"/>
    <col min="1541" max="1792" width="8.109375" style="194"/>
    <col min="1793" max="1793" width="27.5546875" style="194" customWidth="1"/>
    <col min="1794" max="1794" width="15.33203125" style="194" customWidth="1"/>
    <col min="1795" max="1795" width="2.44140625" style="194" customWidth="1"/>
    <col min="1796" max="1796" width="18" style="194" customWidth="1"/>
    <col min="1797" max="2048" width="8.109375" style="194"/>
    <col min="2049" max="2049" width="27.5546875" style="194" customWidth="1"/>
    <col min="2050" max="2050" width="15.33203125" style="194" customWidth="1"/>
    <col min="2051" max="2051" width="2.44140625" style="194" customWidth="1"/>
    <col min="2052" max="2052" width="18" style="194" customWidth="1"/>
    <col min="2053" max="2304" width="8.109375" style="194"/>
    <col min="2305" max="2305" width="27.5546875" style="194" customWidth="1"/>
    <col min="2306" max="2306" width="15.33203125" style="194" customWidth="1"/>
    <col min="2307" max="2307" width="2.44140625" style="194" customWidth="1"/>
    <col min="2308" max="2308" width="18" style="194" customWidth="1"/>
    <col min="2309" max="2560" width="8.109375" style="194"/>
    <col min="2561" max="2561" width="27.5546875" style="194" customWidth="1"/>
    <col min="2562" max="2562" width="15.33203125" style="194" customWidth="1"/>
    <col min="2563" max="2563" width="2.44140625" style="194" customWidth="1"/>
    <col min="2564" max="2564" width="18" style="194" customWidth="1"/>
    <col min="2565" max="2816" width="8.109375" style="194"/>
    <col min="2817" max="2817" width="27.5546875" style="194" customWidth="1"/>
    <col min="2818" max="2818" width="15.33203125" style="194" customWidth="1"/>
    <col min="2819" max="2819" width="2.44140625" style="194" customWidth="1"/>
    <col min="2820" max="2820" width="18" style="194" customWidth="1"/>
    <col min="2821" max="3072" width="8.109375" style="194"/>
    <col min="3073" max="3073" width="27.5546875" style="194" customWidth="1"/>
    <col min="3074" max="3074" width="15.33203125" style="194" customWidth="1"/>
    <col min="3075" max="3075" width="2.44140625" style="194" customWidth="1"/>
    <col min="3076" max="3076" width="18" style="194" customWidth="1"/>
    <col min="3077" max="3328" width="8.109375" style="194"/>
    <col min="3329" max="3329" width="27.5546875" style="194" customWidth="1"/>
    <col min="3330" max="3330" width="15.33203125" style="194" customWidth="1"/>
    <col min="3331" max="3331" width="2.44140625" style="194" customWidth="1"/>
    <col min="3332" max="3332" width="18" style="194" customWidth="1"/>
    <col min="3333" max="3584" width="8.109375" style="194"/>
    <col min="3585" max="3585" width="27.5546875" style="194" customWidth="1"/>
    <col min="3586" max="3586" width="15.33203125" style="194" customWidth="1"/>
    <col min="3587" max="3587" width="2.44140625" style="194" customWidth="1"/>
    <col min="3588" max="3588" width="18" style="194" customWidth="1"/>
    <col min="3589" max="3840" width="8.109375" style="194"/>
    <col min="3841" max="3841" width="27.5546875" style="194" customWidth="1"/>
    <col min="3842" max="3842" width="15.33203125" style="194" customWidth="1"/>
    <col min="3843" max="3843" width="2.44140625" style="194" customWidth="1"/>
    <col min="3844" max="3844" width="18" style="194" customWidth="1"/>
    <col min="3845" max="4096" width="8.109375" style="194"/>
    <col min="4097" max="4097" width="27.5546875" style="194" customWidth="1"/>
    <col min="4098" max="4098" width="15.33203125" style="194" customWidth="1"/>
    <col min="4099" max="4099" width="2.44140625" style="194" customWidth="1"/>
    <col min="4100" max="4100" width="18" style="194" customWidth="1"/>
    <col min="4101" max="4352" width="8.109375" style="194"/>
    <col min="4353" max="4353" width="27.5546875" style="194" customWidth="1"/>
    <col min="4354" max="4354" width="15.33203125" style="194" customWidth="1"/>
    <col min="4355" max="4355" width="2.44140625" style="194" customWidth="1"/>
    <col min="4356" max="4356" width="18" style="194" customWidth="1"/>
    <col min="4357" max="4608" width="8.109375" style="194"/>
    <col min="4609" max="4609" width="27.5546875" style="194" customWidth="1"/>
    <col min="4610" max="4610" width="15.33203125" style="194" customWidth="1"/>
    <col min="4611" max="4611" width="2.44140625" style="194" customWidth="1"/>
    <col min="4612" max="4612" width="18" style="194" customWidth="1"/>
    <col min="4613" max="4864" width="8.109375" style="194"/>
    <col min="4865" max="4865" width="27.5546875" style="194" customWidth="1"/>
    <col min="4866" max="4866" width="15.33203125" style="194" customWidth="1"/>
    <col min="4867" max="4867" width="2.44140625" style="194" customWidth="1"/>
    <col min="4868" max="4868" width="18" style="194" customWidth="1"/>
    <col min="4869" max="5120" width="8.109375" style="194"/>
    <col min="5121" max="5121" width="27.5546875" style="194" customWidth="1"/>
    <col min="5122" max="5122" width="15.33203125" style="194" customWidth="1"/>
    <col min="5123" max="5123" width="2.44140625" style="194" customWidth="1"/>
    <col min="5124" max="5124" width="18" style="194" customWidth="1"/>
    <col min="5125" max="5376" width="8.109375" style="194"/>
    <col min="5377" max="5377" width="27.5546875" style="194" customWidth="1"/>
    <col min="5378" max="5378" width="15.33203125" style="194" customWidth="1"/>
    <col min="5379" max="5379" width="2.44140625" style="194" customWidth="1"/>
    <col min="5380" max="5380" width="18" style="194" customWidth="1"/>
    <col min="5381" max="5632" width="8.109375" style="194"/>
    <col min="5633" max="5633" width="27.5546875" style="194" customWidth="1"/>
    <col min="5634" max="5634" width="15.33203125" style="194" customWidth="1"/>
    <col min="5635" max="5635" width="2.44140625" style="194" customWidth="1"/>
    <col min="5636" max="5636" width="18" style="194" customWidth="1"/>
    <col min="5637" max="5888" width="8.109375" style="194"/>
    <col min="5889" max="5889" width="27.5546875" style="194" customWidth="1"/>
    <col min="5890" max="5890" width="15.33203125" style="194" customWidth="1"/>
    <col min="5891" max="5891" width="2.44140625" style="194" customWidth="1"/>
    <col min="5892" max="5892" width="18" style="194" customWidth="1"/>
    <col min="5893" max="6144" width="8.109375" style="194"/>
    <col min="6145" max="6145" width="27.5546875" style="194" customWidth="1"/>
    <col min="6146" max="6146" width="15.33203125" style="194" customWidth="1"/>
    <col min="6147" max="6147" width="2.44140625" style="194" customWidth="1"/>
    <col min="6148" max="6148" width="18" style="194" customWidth="1"/>
    <col min="6149" max="6400" width="8.109375" style="194"/>
    <col min="6401" max="6401" width="27.5546875" style="194" customWidth="1"/>
    <col min="6402" max="6402" width="15.33203125" style="194" customWidth="1"/>
    <col min="6403" max="6403" width="2.44140625" style="194" customWidth="1"/>
    <col min="6404" max="6404" width="18" style="194" customWidth="1"/>
    <col min="6405" max="6656" width="8.109375" style="194"/>
    <col min="6657" max="6657" width="27.5546875" style="194" customWidth="1"/>
    <col min="6658" max="6658" width="15.33203125" style="194" customWidth="1"/>
    <col min="6659" max="6659" width="2.44140625" style="194" customWidth="1"/>
    <col min="6660" max="6660" width="18" style="194" customWidth="1"/>
    <col min="6661" max="6912" width="8.109375" style="194"/>
    <col min="6913" max="6913" width="27.5546875" style="194" customWidth="1"/>
    <col min="6914" max="6914" width="15.33203125" style="194" customWidth="1"/>
    <col min="6915" max="6915" width="2.44140625" style="194" customWidth="1"/>
    <col min="6916" max="6916" width="18" style="194" customWidth="1"/>
    <col min="6917" max="7168" width="8.109375" style="194"/>
    <col min="7169" max="7169" width="27.5546875" style="194" customWidth="1"/>
    <col min="7170" max="7170" width="15.33203125" style="194" customWidth="1"/>
    <col min="7171" max="7171" width="2.44140625" style="194" customWidth="1"/>
    <col min="7172" max="7172" width="18" style="194" customWidth="1"/>
    <col min="7173" max="7424" width="8.109375" style="194"/>
    <col min="7425" max="7425" width="27.5546875" style="194" customWidth="1"/>
    <col min="7426" max="7426" width="15.33203125" style="194" customWidth="1"/>
    <col min="7427" max="7427" width="2.44140625" style="194" customWidth="1"/>
    <col min="7428" max="7428" width="18" style="194" customWidth="1"/>
    <col min="7429" max="7680" width="8.109375" style="194"/>
    <col min="7681" max="7681" width="27.5546875" style="194" customWidth="1"/>
    <col min="7682" max="7682" width="15.33203125" style="194" customWidth="1"/>
    <col min="7683" max="7683" width="2.44140625" style="194" customWidth="1"/>
    <col min="7684" max="7684" width="18" style="194" customWidth="1"/>
    <col min="7685" max="7936" width="8.109375" style="194"/>
    <col min="7937" max="7937" width="27.5546875" style="194" customWidth="1"/>
    <col min="7938" max="7938" width="15.33203125" style="194" customWidth="1"/>
    <col min="7939" max="7939" width="2.44140625" style="194" customWidth="1"/>
    <col min="7940" max="7940" width="18" style="194" customWidth="1"/>
    <col min="7941" max="8192" width="8.109375" style="194"/>
    <col min="8193" max="8193" width="27.5546875" style="194" customWidth="1"/>
    <col min="8194" max="8194" width="15.33203125" style="194" customWidth="1"/>
    <col min="8195" max="8195" width="2.44140625" style="194" customWidth="1"/>
    <col min="8196" max="8196" width="18" style="194" customWidth="1"/>
    <col min="8197" max="8448" width="8.109375" style="194"/>
    <col min="8449" max="8449" width="27.5546875" style="194" customWidth="1"/>
    <col min="8450" max="8450" width="15.33203125" style="194" customWidth="1"/>
    <col min="8451" max="8451" width="2.44140625" style="194" customWidth="1"/>
    <col min="8452" max="8452" width="18" style="194" customWidth="1"/>
    <col min="8453" max="8704" width="8.109375" style="194"/>
    <col min="8705" max="8705" width="27.5546875" style="194" customWidth="1"/>
    <col min="8706" max="8706" width="15.33203125" style="194" customWidth="1"/>
    <col min="8707" max="8707" width="2.44140625" style="194" customWidth="1"/>
    <col min="8708" max="8708" width="18" style="194" customWidth="1"/>
    <col min="8709" max="8960" width="8.109375" style="194"/>
    <col min="8961" max="8961" width="27.5546875" style="194" customWidth="1"/>
    <col min="8962" max="8962" width="15.33203125" style="194" customWidth="1"/>
    <col min="8963" max="8963" width="2.44140625" style="194" customWidth="1"/>
    <col min="8964" max="8964" width="18" style="194" customWidth="1"/>
    <col min="8965" max="9216" width="8.109375" style="194"/>
    <col min="9217" max="9217" width="27.5546875" style="194" customWidth="1"/>
    <col min="9218" max="9218" width="15.33203125" style="194" customWidth="1"/>
    <col min="9219" max="9219" width="2.44140625" style="194" customWidth="1"/>
    <col min="9220" max="9220" width="18" style="194" customWidth="1"/>
    <col min="9221" max="9472" width="8.109375" style="194"/>
    <col min="9473" max="9473" width="27.5546875" style="194" customWidth="1"/>
    <col min="9474" max="9474" width="15.33203125" style="194" customWidth="1"/>
    <col min="9475" max="9475" width="2.44140625" style="194" customWidth="1"/>
    <col min="9476" max="9476" width="18" style="194" customWidth="1"/>
    <col min="9477" max="9728" width="8.109375" style="194"/>
    <col min="9729" max="9729" width="27.5546875" style="194" customWidth="1"/>
    <col min="9730" max="9730" width="15.33203125" style="194" customWidth="1"/>
    <col min="9731" max="9731" width="2.44140625" style="194" customWidth="1"/>
    <col min="9732" max="9732" width="18" style="194" customWidth="1"/>
    <col min="9733" max="9984" width="8.109375" style="194"/>
    <col min="9985" max="9985" width="27.5546875" style="194" customWidth="1"/>
    <col min="9986" max="9986" width="15.33203125" style="194" customWidth="1"/>
    <col min="9987" max="9987" width="2.44140625" style="194" customWidth="1"/>
    <col min="9988" max="9988" width="18" style="194" customWidth="1"/>
    <col min="9989" max="10240" width="8.109375" style="194"/>
    <col min="10241" max="10241" width="27.5546875" style="194" customWidth="1"/>
    <col min="10242" max="10242" width="15.33203125" style="194" customWidth="1"/>
    <col min="10243" max="10243" width="2.44140625" style="194" customWidth="1"/>
    <col min="10244" max="10244" width="18" style="194" customWidth="1"/>
    <col min="10245" max="10496" width="8.109375" style="194"/>
    <col min="10497" max="10497" width="27.5546875" style="194" customWidth="1"/>
    <col min="10498" max="10498" width="15.33203125" style="194" customWidth="1"/>
    <col min="10499" max="10499" width="2.44140625" style="194" customWidth="1"/>
    <col min="10500" max="10500" width="18" style="194" customWidth="1"/>
    <col min="10501" max="10752" width="8.109375" style="194"/>
    <col min="10753" max="10753" width="27.5546875" style="194" customWidth="1"/>
    <col min="10754" max="10754" width="15.33203125" style="194" customWidth="1"/>
    <col min="10755" max="10755" width="2.44140625" style="194" customWidth="1"/>
    <col min="10756" max="10756" width="18" style="194" customWidth="1"/>
    <col min="10757" max="11008" width="8.109375" style="194"/>
    <col min="11009" max="11009" width="27.5546875" style="194" customWidth="1"/>
    <col min="11010" max="11010" width="15.33203125" style="194" customWidth="1"/>
    <col min="11011" max="11011" width="2.44140625" style="194" customWidth="1"/>
    <col min="11012" max="11012" width="18" style="194" customWidth="1"/>
    <col min="11013" max="11264" width="8.109375" style="194"/>
    <col min="11265" max="11265" width="27.5546875" style="194" customWidth="1"/>
    <col min="11266" max="11266" width="15.33203125" style="194" customWidth="1"/>
    <col min="11267" max="11267" width="2.44140625" style="194" customWidth="1"/>
    <col min="11268" max="11268" width="18" style="194" customWidth="1"/>
    <col min="11269" max="11520" width="8.109375" style="194"/>
    <col min="11521" max="11521" width="27.5546875" style="194" customWidth="1"/>
    <col min="11522" max="11522" width="15.33203125" style="194" customWidth="1"/>
    <col min="11523" max="11523" width="2.44140625" style="194" customWidth="1"/>
    <col min="11524" max="11524" width="18" style="194" customWidth="1"/>
    <col min="11525" max="11776" width="8.109375" style="194"/>
    <col min="11777" max="11777" width="27.5546875" style="194" customWidth="1"/>
    <col min="11778" max="11778" width="15.33203125" style="194" customWidth="1"/>
    <col min="11779" max="11779" width="2.44140625" style="194" customWidth="1"/>
    <col min="11780" max="11780" width="18" style="194" customWidth="1"/>
    <col min="11781" max="12032" width="8.109375" style="194"/>
    <col min="12033" max="12033" width="27.5546875" style="194" customWidth="1"/>
    <col min="12034" max="12034" width="15.33203125" style="194" customWidth="1"/>
    <col min="12035" max="12035" width="2.44140625" style="194" customWidth="1"/>
    <col min="12036" max="12036" width="18" style="194" customWidth="1"/>
    <col min="12037" max="12288" width="8.109375" style="194"/>
    <col min="12289" max="12289" width="27.5546875" style="194" customWidth="1"/>
    <col min="12290" max="12290" width="15.33203125" style="194" customWidth="1"/>
    <col min="12291" max="12291" width="2.44140625" style="194" customWidth="1"/>
    <col min="12292" max="12292" width="18" style="194" customWidth="1"/>
    <col min="12293" max="12544" width="8.109375" style="194"/>
    <col min="12545" max="12545" width="27.5546875" style="194" customWidth="1"/>
    <col min="12546" max="12546" width="15.33203125" style="194" customWidth="1"/>
    <col min="12547" max="12547" width="2.44140625" style="194" customWidth="1"/>
    <col min="12548" max="12548" width="18" style="194" customWidth="1"/>
    <col min="12549" max="12800" width="8.109375" style="194"/>
    <col min="12801" max="12801" width="27.5546875" style="194" customWidth="1"/>
    <col min="12802" max="12802" width="15.33203125" style="194" customWidth="1"/>
    <col min="12803" max="12803" width="2.44140625" style="194" customWidth="1"/>
    <col min="12804" max="12804" width="18" style="194" customWidth="1"/>
    <col min="12805" max="13056" width="8.109375" style="194"/>
    <col min="13057" max="13057" width="27.5546875" style="194" customWidth="1"/>
    <col min="13058" max="13058" width="15.33203125" style="194" customWidth="1"/>
    <col min="13059" max="13059" width="2.44140625" style="194" customWidth="1"/>
    <col min="13060" max="13060" width="18" style="194" customWidth="1"/>
    <col min="13061" max="13312" width="8.109375" style="194"/>
    <col min="13313" max="13313" width="27.5546875" style="194" customWidth="1"/>
    <col min="13314" max="13314" width="15.33203125" style="194" customWidth="1"/>
    <col min="13315" max="13315" width="2.44140625" style="194" customWidth="1"/>
    <col min="13316" max="13316" width="18" style="194" customWidth="1"/>
    <col min="13317" max="13568" width="8.109375" style="194"/>
    <col min="13569" max="13569" width="27.5546875" style="194" customWidth="1"/>
    <col min="13570" max="13570" width="15.33203125" style="194" customWidth="1"/>
    <col min="13571" max="13571" width="2.44140625" style="194" customWidth="1"/>
    <col min="13572" max="13572" width="18" style="194" customWidth="1"/>
    <col min="13573" max="13824" width="8.109375" style="194"/>
    <col min="13825" max="13825" width="27.5546875" style="194" customWidth="1"/>
    <col min="13826" max="13826" width="15.33203125" style="194" customWidth="1"/>
    <col min="13827" max="13827" width="2.44140625" style="194" customWidth="1"/>
    <col min="13828" max="13828" width="18" style="194" customWidth="1"/>
    <col min="13829" max="14080" width="8.109375" style="194"/>
    <col min="14081" max="14081" width="27.5546875" style="194" customWidth="1"/>
    <col min="14082" max="14082" width="15.33203125" style="194" customWidth="1"/>
    <col min="14083" max="14083" width="2.44140625" style="194" customWidth="1"/>
    <col min="14084" max="14084" width="18" style="194" customWidth="1"/>
    <col min="14085" max="14336" width="8.109375" style="194"/>
    <col min="14337" max="14337" width="27.5546875" style="194" customWidth="1"/>
    <col min="14338" max="14338" width="15.33203125" style="194" customWidth="1"/>
    <col min="14339" max="14339" width="2.44140625" style="194" customWidth="1"/>
    <col min="14340" max="14340" width="18" style="194" customWidth="1"/>
    <col min="14341" max="14592" width="8.109375" style="194"/>
    <col min="14593" max="14593" width="27.5546875" style="194" customWidth="1"/>
    <col min="14594" max="14594" width="15.33203125" style="194" customWidth="1"/>
    <col min="14595" max="14595" width="2.44140625" style="194" customWidth="1"/>
    <col min="14596" max="14596" width="18" style="194" customWidth="1"/>
    <col min="14597" max="14848" width="8.109375" style="194"/>
    <col min="14849" max="14849" width="27.5546875" style="194" customWidth="1"/>
    <col min="14850" max="14850" width="15.33203125" style="194" customWidth="1"/>
    <col min="14851" max="14851" width="2.44140625" style="194" customWidth="1"/>
    <col min="14852" max="14852" width="18" style="194" customWidth="1"/>
    <col min="14853" max="15104" width="8.109375" style="194"/>
    <col min="15105" max="15105" width="27.5546875" style="194" customWidth="1"/>
    <col min="15106" max="15106" width="15.33203125" style="194" customWidth="1"/>
    <col min="15107" max="15107" width="2.44140625" style="194" customWidth="1"/>
    <col min="15108" max="15108" width="18" style="194" customWidth="1"/>
    <col min="15109" max="15360" width="8.109375" style="194"/>
    <col min="15361" max="15361" width="27.5546875" style="194" customWidth="1"/>
    <col min="15362" max="15362" width="15.33203125" style="194" customWidth="1"/>
    <col min="15363" max="15363" width="2.44140625" style="194" customWidth="1"/>
    <col min="15364" max="15364" width="18" style="194" customWidth="1"/>
    <col min="15365" max="15616" width="8.109375" style="194"/>
    <col min="15617" max="15617" width="27.5546875" style="194" customWidth="1"/>
    <col min="15618" max="15618" width="15.33203125" style="194" customWidth="1"/>
    <col min="15619" max="15619" width="2.44140625" style="194" customWidth="1"/>
    <col min="15620" max="15620" width="18" style="194" customWidth="1"/>
    <col min="15621" max="15872" width="8.109375" style="194"/>
    <col min="15873" max="15873" width="27.5546875" style="194" customWidth="1"/>
    <col min="15874" max="15874" width="15.33203125" style="194" customWidth="1"/>
    <col min="15875" max="15875" width="2.44140625" style="194" customWidth="1"/>
    <col min="15876" max="15876" width="18" style="194" customWidth="1"/>
    <col min="15877" max="16128" width="8.109375" style="194"/>
    <col min="16129" max="16129" width="27.5546875" style="194" customWidth="1"/>
    <col min="16130" max="16130" width="15.33203125" style="194" customWidth="1"/>
    <col min="16131" max="16131" width="2.44140625" style="194" customWidth="1"/>
    <col min="16132" max="16132" width="18" style="194" customWidth="1"/>
    <col min="16133" max="16384" width="8.109375" style="194"/>
  </cols>
  <sheetData>
    <row r="2" spans="1:5" ht="21" x14ac:dyDescent="0.4">
      <c r="A2" s="98" t="s">
        <v>163</v>
      </c>
    </row>
    <row r="3" spans="1:5" ht="15" x14ac:dyDescent="0.25">
      <c r="A3" s="99" t="s">
        <v>164</v>
      </c>
    </row>
    <row r="6" spans="1:5" ht="12" x14ac:dyDescent="0.2">
      <c r="A6" s="195" t="s">
        <v>165</v>
      </c>
      <c r="B6" s="196" t="s">
        <v>166</v>
      </c>
      <c r="C6" s="197"/>
      <c r="D6" s="196" t="s">
        <v>167</v>
      </c>
      <c r="E6" s="198"/>
    </row>
    <row r="7" spans="1:5" ht="12" x14ac:dyDescent="0.2">
      <c r="A7" s="197" t="s">
        <v>168</v>
      </c>
      <c r="B7" s="199"/>
      <c r="C7" s="197"/>
      <c r="D7" s="200"/>
      <c r="E7" s="198"/>
    </row>
    <row r="8" spans="1:5" x14ac:dyDescent="0.2">
      <c r="A8" s="201" t="s">
        <v>169</v>
      </c>
      <c r="B8" s="216"/>
      <c r="C8" s="199"/>
      <c r="D8" s="200">
        <v>0.23</v>
      </c>
      <c r="E8" s="198"/>
    </row>
    <row r="9" spans="1:5" x14ac:dyDescent="0.2">
      <c r="A9" s="201" t="s">
        <v>170</v>
      </c>
      <c r="B9" s="199"/>
      <c r="C9" s="202"/>
      <c r="D9" s="200">
        <v>0</v>
      </c>
      <c r="E9" s="198"/>
    </row>
    <row r="10" spans="1:5" x14ac:dyDescent="0.2">
      <c r="A10" s="201" t="s">
        <v>171</v>
      </c>
      <c r="B10" s="199"/>
      <c r="C10" s="202"/>
      <c r="D10" s="200">
        <v>0</v>
      </c>
      <c r="E10" s="198"/>
    </row>
    <row r="11" spans="1:5" ht="22.8" x14ac:dyDescent="0.2">
      <c r="A11" s="201" t="s">
        <v>172</v>
      </c>
      <c r="B11" s="199"/>
      <c r="C11" s="202"/>
      <c r="D11" s="200">
        <v>0</v>
      </c>
      <c r="E11" s="198"/>
    </row>
    <row r="12" spans="1:5" x14ac:dyDescent="0.2">
      <c r="A12" s="201"/>
      <c r="B12" s="199"/>
      <c r="C12" s="202"/>
      <c r="D12" s="200"/>
      <c r="E12" s="198"/>
    </row>
    <row r="13" spans="1:5" ht="12" x14ac:dyDescent="0.2">
      <c r="A13" s="203" t="s">
        <v>173</v>
      </c>
      <c r="B13" s="202"/>
      <c r="C13" s="202"/>
      <c r="D13" s="204"/>
      <c r="E13" s="198"/>
    </row>
    <row r="14" spans="1:5" x14ac:dyDescent="0.2">
      <c r="A14" s="201" t="s">
        <v>174</v>
      </c>
      <c r="B14" s="199">
        <v>0</v>
      </c>
      <c r="C14" s="202"/>
      <c r="D14" s="200"/>
      <c r="E14" s="198"/>
    </row>
    <row r="15" spans="1:5" x14ac:dyDescent="0.2">
      <c r="A15" s="201" t="s">
        <v>175</v>
      </c>
      <c r="B15" s="199">
        <v>540</v>
      </c>
      <c r="C15" s="202"/>
      <c r="D15" s="200"/>
      <c r="E15" s="198"/>
    </row>
    <row r="16" spans="1:5" x14ac:dyDescent="0.2">
      <c r="A16" s="201" t="s">
        <v>143</v>
      </c>
      <c r="B16" s="199">
        <v>0</v>
      </c>
      <c r="C16" s="202"/>
      <c r="D16" s="200"/>
      <c r="E16" s="198"/>
    </row>
    <row r="17" spans="1:5" x14ac:dyDescent="0.2">
      <c r="A17" s="201" t="s">
        <v>69</v>
      </c>
      <c r="B17" s="199">
        <v>720</v>
      </c>
      <c r="C17" s="202"/>
      <c r="D17" s="200"/>
      <c r="E17" s="198"/>
    </row>
    <row r="18" spans="1:5" x14ac:dyDescent="0.2">
      <c r="A18" s="201" t="s">
        <v>106</v>
      </c>
      <c r="B18" s="199">
        <v>0</v>
      </c>
      <c r="C18" s="202"/>
      <c r="D18" s="200"/>
      <c r="E18" s="198"/>
    </row>
    <row r="19" spans="1:5" x14ac:dyDescent="0.2">
      <c r="A19" s="201" t="s">
        <v>107</v>
      </c>
      <c r="B19" s="199">
        <v>0</v>
      </c>
      <c r="C19" s="202"/>
      <c r="D19" s="200"/>
      <c r="E19" s="198"/>
    </row>
    <row r="20" spans="1:5" x14ac:dyDescent="0.2">
      <c r="A20" s="201" t="s">
        <v>146</v>
      </c>
      <c r="B20" s="199">
        <v>0</v>
      </c>
      <c r="C20" s="202"/>
      <c r="D20" s="200"/>
      <c r="E20" s="198"/>
    </row>
    <row r="21" spans="1:5" x14ac:dyDescent="0.2">
      <c r="A21" s="201" t="s">
        <v>109</v>
      </c>
      <c r="B21" s="199">
        <v>0</v>
      </c>
      <c r="C21" s="202"/>
      <c r="D21" s="200"/>
      <c r="E21" s="198"/>
    </row>
    <row r="22" spans="1:5" x14ac:dyDescent="0.2">
      <c r="A22" s="201" t="s">
        <v>110</v>
      </c>
      <c r="B22" s="199">
        <v>0</v>
      </c>
      <c r="C22" s="202"/>
      <c r="D22" s="200"/>
      <c r="E22" s="198"/>
    </row>
    <row r="23" spans="1:5" x14ac:dyDescent="0.2">
      <c r="A23" s="201" t="s">
        <v>111</v>
      </c>
      <c r="B23" s="199">
        <v>600</v>
      </c>
      <c r="C23" s="202"/>
      <c r="D23" s="200"/>
      <c r="E23" s="198"/>
    </row>
    <row r="24" spans="1:5" x14ac:dyDescent="0.2">
      <c r="A24" s="201" t="s">
        <v>176</v>
      </c>
      <c r="B24" s="199">
        <v>0</v>
      </c>
      <c r="C24" s="202"/>
      <c r="D24" s="200"/>
      <c r="E24" s="198"/>
    </row>
    <row r="25" spans="1:5" x14ac:dyDescent="0.2">
      <c r="A25" s="201" t="s">
        <v>113</v>
      </c>
      <c r="B25" s="199">
        <v>0</v>
      </c>
      <c r="C25" s="202"/>
      <c r="D25" s="200"/>
      <c r="E25" s="198"/>
    </row>
    <row r="26" spans="1:5" x14ac:dyDescent="0.2">
      <c r="A26" s="201" t="s">
        <v>114</v>
      </c>
      <c r="B26" s="199">
        <v>650</v>
      </c>
      <c r="C26" s="202"/>
      <c r="D26" s="200"/>
      <c r="E26" s="198"/>
    </row>
    <row r="27" spans="1:5" x14ac:dyDescent="0.2">
      <c r="A27" s="201" t="s">
        <v>147</v>
      </c>
      <c r="B27" s="199">
        <v>0</v>
      </c>
      <c r="C27" s="202"/>
      <c r="D27" s="200"/>
      <c r="E27" s="198"/>
    </row>
    <row r="28" spans="1:5" x14ac:dyDescent="0.2">
      <c r="A28" s="201" t="s">
        <v>147</v>
      </c>
      <c r="B28" s="199">
        <v>0</v>
      </c>
      <c r="C28" s="202"/>
      <c r="D28" s="200"/>
      <c r="E28" s="198"/>
    </row>
    <row r="29" spans="1:5" x14ac:dyDescent="0.2">
      <c r="A29" s="201" t="s">
        <v>177</v>
      </c>
      <c r="B29" s="199">
        <v>0</v>
      </c>
      <c r="C29" s="202"/>
      <c r="D29" s="200"/>
      <c r="E29" s="198"/>
    </row>
    <row r="30" spans="1:5" x14ac:dyDescent="0.2">
      <c r="A30" s="201" t="s">
        <v>178</v>
      </c>
      <c r="B30" s="199">
        <v>0</v>
      </c>
      <c r="C30" s="205"/>
      <c r="D30" s="200"/>
      <c r="E30" s="201"/>
    </row>
    <row r="31" spans="1:5" x14ac:dyDescent="0.2">
      <c r="A31" s="201" t="s">
        <v>179</v>
      </c>
      <c r="B31" s="199">
        <v>0</v>
      </c>
      <c r="C31" s="205"/>
      <c r="D31" s="200"/>
      <c r="E31" s="201"/>
    </row>
    <row r="32" spans="1:5" x14ac:dyDescent="0.2">
      <c r="A32" s="201"/>
      <c r="B32" s="205"/>
      <c r="C32" s="205"/>
      <c r="D32" s="206"/>
      <c r="E32" s="201"/>
    </row>
    <row r="33" spans="1:5" ht="12" x14ac:dyDescent="0.2">
      <c r="A33" s="207" t="s">
        <v>180</v>
      </c>
      <c r="B33" s="208">
        <f>SUM(B14:B31)</f>
        <v>2510</v>
      </c>
      <c r="C33" s="209"/>
      <c r="D33" s="206"/>
      <c r="E33" s="201"/>
    </row>
    <row r="34" spans="1:5" x14ac:dyDescent="0.2">
      <c r="A34" s="201"/>
      <c r="B34" s="210"/>
      <c r="C34" s="210"/>
      <c r="D34" s="206"/>
      <c r="E34" s="201"/>
    </row>
    <row r="35" spans="1:5" ht="12" x14ac:dyDescent="0.2">
      <c r="A35" s="207" t="s">
        <v>181</v>
      </c>
      <c r="B35" s="211"/>
      <c r="C35" s="211"/>
      <c r="D35" s="212">
        <f>SUM(D8:D11)</f>
        <v>0.23</v>
      </c>
      <c r="E35" s="201"/>
    </row>
    <row r="36" spans="1:5" ht="12" x14ac:dyDescent="0.2">
      <c r="A36" s="203"/>
      <c r="B36" s="210"/>
      <c r="C36" s="210"/>
      <c r="D36" s="206"/>
      <c r="E36" s="201"/>
    </row>
    <row r="37" spans="1:5" x14ac:dyDescent="0.2">
      <c r="A37" s="201"/>
      <c r="B37" s="201"/>
      <c r="C37" s="201"/>
      <c r="D37" s="201"/>
      <c r="E37" s="201"/>
    </row>
    <row r="38" spans="1:5" ht="31.8" thickBot="1" x14ac:dyDescent="0.25">
      <c r="A38" s="213" t="s">
        <v>182</v>
      </c>
      <c r="B38" s="214">
        <f>B33/((1-D35)/1)</f>
        <v>3259.7402597402597</v>
      </c>
      <c r="C38" s="215"/>
      <c r="D38" s="201"/>
      <c r="E38" s="201"/>
    </row>
    <row r="39" spans="1:5" ht="12" thickTop="1" x14ac:dyDescent="0.2">
      <c r="A39" s="201"/>
      <c r="B39" s="201"/>
      <c r="C39" s="201"/>
      <c r="D39" s="201"/>
      <c r="E39" s="201"/>
    </row>
    <row r="40" spans="1:5" x14ac:dyDescent="0.2">
      <c r="A40" s="201"/>
      <c r="B40" s="201"/>
      <c r="C40" s="201"/>
      <c r="D40" s="201"/>
      <c r="E40" s="201"/>
    </row>
    <row r="41" spans="1:5" x14ac:dyDescent="0.2">
      <c r="A41" s="201"/>
      <c r="B41" s="201"/>
      <c r="C41" s="201"/>
      <c r="D41" s="201"/>
      <c r="E41" s="201"/>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F62CA-EE38-4257-B38D-B502EF08B865}">
  <dimension ref="A2:S17"/>
  <sheetViews>
    <sheetView workbookViewId="0">
      <selection activeCell="O11" sqref="O11"/>
    </sheetView>
  </sheetViews>
  <sheetFormatPr defaultColWidth="9.109375" defaultRowHeight="10.199999999999999" x14ac:dyDescent="0.2"/>
  <cols>
    <col min="1" max="1" width="12.5546875" style="96" customWidth="1"/>
    <col min="2" max="13" width="8.44140625" style="96" customWidth="1"/>
    <col min="14" max="14" width="8.44140625" style="97" customWidth="1"/>
    <col min="15" max="15" width="1.88671875" style="96" customWidth="1"/>
    <col min="16" max="18" width="8.44140625" style="96" customWidth="1"/>
    <col min="19" max="19" width="15.88671875" style="96" customWidth="1"/>
    <col min="20" max="256" width="9.109375" style="96"/>
    <col min="257" max="257" width="12.5546875" style="96" customWidth="1"/>
    <col min="258" max="270" width="8.44140625" style="96" customWidth="1"/>
    <col min="271" max="271" width="1.88671875" style="96" customWidth="1"/>
    <col min="272" max="274" width="8.44140625" style="96" customWidth="1"/>
    <col min="275" max="275" width="15.88671875" style="96" customWidth="1"/>
    <col min="276" max="512" width="9.109375" style="96"/>
    <col min="513" max="513" width="12.5546875" style="96" customWidth="1"/>
    <col min="514" max="526" width="8.44140625" style="96" customWidth="1"/>
    <col min="527" max="527" width="1.88671875" style="96" customWidth="1"/>
    <col min="528" max="530" width="8.44140625" style="96" customWidth="1"/>
    <col min="531" max="531" width="15.88671875" style="96" customWidth="1"/>
    <col min="532" max="768" width="9.109375" style="96"/>
    <col min="769" max="769" width="12.5546875" style="96" customWidth="1"/>
    <col min="770" max="782" width="8.44140625" style="96" customWidth="1"/>
    <col min="783" max="783" width="1.88671875" style="96" customWidth="1"/>
    <col min="784" max="786" width="8.44140625" style="96" customWidth="1"/>
    <col min="787" max="787" width="15.88671875" style="96" customWidth="1"/>
    <col min="788" max="1024" width="9.109375" style="96"/>
    <col min="1025" max="1025" width="12.5546875" style="96" customWidth="1"/>
    <col min="1026" max="1038" width="8.44140625" style="96" customWidth="1"/>
    <col min="1039" max="1039" width="1.88671875" style="96" customWidth="1"/>
    <col min="1040" max="1042" width="8.44140625" style="96" customWidth="1"/>
    <col min="1043" max="1043" width="15.88671875" style="96" customWidth="1"/>
    <col min="1044" max="1280" width="9.109375" style="96"/>
    <col min="1281" max="1281" width="12.5546875" style="96" customWidth="1"/>
    <col min="1282" max="1294" width="8.44140625" style="96" customWidth="1"/>
    <col min="1295" max="1295" width="1.88671875" style="96" customWidth="1"/>
    <col min="1296" max="1298" width="8.44140625" style="96" customWidth="1"/>
    <col min="1299" max="1299" width="15.88671875" style="96" customWidth="1"/>
    <col min="1300" max="1536" width="9.109375" style="96"/>
    <col min="1537" max="1537" width="12.5546875" style="96" customWidth="1"/>
    <col min="1538" max="1550" width="8.44140625" style="96" customWidth="1"/>
    <col min="1551" max="1551" width="1.88671875" style="96" customWidth="1"/>
    <col min="1552" max="1554" width="8.44140625" style="96" customWidth="1"/>
    <col min="1555" max="1555" width="15.88671875" style="96" customWidth="1"/>
    <col min="1556" max="1792" width="9.109375" style="96"/>
    <col min="1793" max="1793" width="12.5546875" style="96" customWidth="1"/>
    <col min="1794" max="1806" width="8.44140625" style="96" customWidth="1"/>
    <col min="1807" max="1807" width="1.88671875" style="96" customWidth="1"/>
    <col min="1808" max="1810" width="8.44140625" style="96" customWidth="1"/>
    <col min="1811" max="1811" width="15.88671875" style="96" customWidth="1"/>
    <col min="1812" max="2048" width="9.109375" style="96"/>
    <col min="2049" max="2049" width="12.5546875" style="96" customWidth="1"/>
    <col min="2050" max="2062" width="8.44140625" style="96" customWidth="1"/>
    <col min="2063" max="2063" width="1.88671875" style="96" customWidth="1"/>
    <col min="2064" max="2066" width="8.44140625" style="96" customWidth="1"/>
    <col min="2067" max="2067" width="15.88671875" style="96" customWidth="1"/>
    <col min="2068" max="2304" width="9.109375" style="96"/>
    <col min="2305" max="2305" width="12.5546875" style="96" customWidth="1"/>
    <col min="2306" max="2318" width="8.44140625" style="96" customWidth="1"/>
    <col min="2319" max="2319" width="1.88671875" style="96" customWidth="1"/>
    <col min="2320" max="2322" width="8.44140625" style="96" customWidth="1"/>
    <col min="2323" max="2323" width="15.88671875" style="96" customWidth="1"/>
    <col min="2324" max="2560" width="9.109375" style="96"/>
    <col min="2561" max="2561" width="12.5546875" style="96" customWidth="1"/>
    <col min="2562" max="2574" width="8.44140625" style="96" customWidth="1"/>
    <col min="2575" max="2575" width="1.88671875" style="96" customWidth="1"/>
    <col min="2576" max="2578" width="8.44140625" style="96" customWidth="1"/>
    <col min="2579" max="2579" width="15.88671875" style="96" customWidth="1"/>
    <col min="2580" max="2816" width="9.109375" style="96"/>
    <col min="2817" max="2817" width="12.5546875" style="96" customWidth="1"/>
    <col min="2818" max="2830" width="8.44140625" style="96" customWidth="1"/>
    <col min="2831" max="2831" width="1.88671875" style="96" customWidth="1"/>
    <col min="2832" max="2834" width="8.44140625" style="96" customWidth="1"/>
    <col min="2835" max="2835" width="15.88671875" style="96" customWidth="1"/>
    <col min="2836" max="3072" width="9.109375" style="96"/>
    <col min="3073" max="3073" width="12.5546875" style="96" customWidth="1"/>
    <col min="3074" max="3086" width="8.44140625" style="96" customWidth="1"/>
    <col min="3087" max="3087" width="1.88671875" style="96" customWidth="1"/>
    <col min="3088" max="3090" width="8.44140625" style="96" customWidth="1"/>
    <col min="3091" max="3091" width="15.88671875" style="96" customWidth="1"/>
    <col min="3092" max="3328" width="9.109375" style="96"/>
    <col min="3329" max="3329" width="12.5546875" style="96" customWidth="1"/>
    <col min="3330" max="3342" width="8.44140625" style="96" customWidth="1"/>
    <col min="3343" max="3343" width="1.88671875" style="96" customWidth="1"/>
    <col min="3344" max="3346" width="8.44140625" style="96" customWidth="1"/>
    <col min="3347" max="3347" width="15.88671875" style="96" customWidth="1"/>
    <col min="3348" max="3584" width="9.109375" style="96"/>
    <col min="3585" max="3585" width="12.5546875" style="96" customWidth="1"/>
    <col min="3586" max="3598" width="8.44140625" style="96" customWidth="1"/>
    <col min="3599" max="3599" width="1.88671875" style="96" customWidth="1"/>
    <col min="3600" max="3602" width="8.44140625" style="96" customWidth="1"/>
    <col min="3603" max="3603" width="15.88671875" style="96" customWidth="1"/>
    <col min="3604" max="3840" width="9.109375" style="96"/>
    <col min="3841" max="3841" width="12.5546875" style="96" customWidth="1"/>
    <col min="3842" max="3854" width="8.44140625" style="96" customWidth="1"/>
    <col min="3855" max="3855" width="1.88671875" style="96" customWidth="1"/>
    <col min="3856" max="3858" width="8.44140625" style="96" customWidth="1"/>
    <col min="3859" max="3859" width="15.88671875" style="96" customWidth="1"/>
    <col min="3860" max="4096" width="9.109375" style="96"/>
    <col min="4097" max="4097" width="12.5546875" style="96" customWidth="1"/>
    <col min="4098" max="4110" width="8.44140625" style="96" customWidth="1"/>
    <col min="4111" max="4111" width="1.88671875" style="96" customWidth="1"/>
    <col min="4112" max="4114" width="8.44140625" style="96" customWidth="1"/>
    <col min="4115" max="4115" width="15.88671875" style="96" customWidth="1"/>
    <col min="4116" max="4352" width="9.109375" style="96"/>
    <col min="4353" max="4353" width="12.5546875" style="96" customWidth="1"/>
    <col min="4354" max="4366" width="8.44140625" style="96" customWidth="1"/>
    <col min="4367" max="4367" width="1.88671875" style="96" customWidth="1"/>
    <col min="4368" max="4370" width="8.44140625" style="96" customWidth="1"/>
    <col min="4371" max="4371" width="15.88671875" style="96" customWidth="1"/>
    <col min="4372" max="4608" width="9.109375" style="96"/>
    <col min="4609" max="4609" width="12.5546875" style="96" customWidth="1"/>
    <col min="4610" max="4622" width="8.44140625" style="96" customWidth="1"/>
    <col min="4623" max="4623" width="1.88671875" style="96" customWidth="1"/>
    <col min="4624" max="4626" width="8.44140625" style="96" customWidth="1"/>
    <col min="4627" max="4627" width="15.88671875" style="96" customWidth="1"/>
    <col min="4628" max="4864" width="9.109375" style="96"/>
    <col min="4865" max="4865" width="12.5546875" style="96" customWidth="1"/>
    <col min="4866" max="4878" width="8.44140625" style="96" customWidth="1"/>
    <col min="4879" max="4879" width="1.88671875" style="96" customWidth="1"/>
    <col min="4880" max="4882" width="8.44140625" style="96" customWidth="1"/>
    <col min="4883" max="4883" width="15.88671875" style="96" customWidth="1"/>
    <col min="4884" max="5120" width="9.109375" style="96"/>
    <col min="5121" max="5121" width="12.5546875" style="96" customWidth="1"/>
    <col min="5122" max="5134" width="8.44140625" style="96" customWidth="1"/>
    <col min="5135" max="5135" width="1.88671875" style="96" customWidth="1"/>
    <col min="5136" max="5138" width="8.44140625" style="96" customWidth="1"/>
    <col min="5139" max="5139" width="15.88671875" style="96" customWidth="1"/>
    <col min="5140" max="5376" width="9.109375" style="96"/>
    <col min="5377" max="5377" width="12.5546875" style="96" customWidth="1"/>
    <col min="5378" max="5390" width="8.44140625" style="96" customWidth="1"/>
    <col min="5391" max="5391" width="1.88671875" style="96" customWidth="1"/>
    <col min="5392" max="5394" width="8.44140625" style="96" customWidth="1"/>
    <col min="5395" max="5395" width="15.88671875" style="96" customWidth="1"/>
    <col min="5396" max="5632" width="9.109375" style="96"/>
    <col min="5633" max="5633" width="12.5546875" style="96" customWidth="1"/>
    <col min="5634" max="5646" width="8.44140625" style="96" customWidth="1"/>
    <col min="5647" max="5647" width="1.88671875" style="96" customWidth="1"/>
    <col min="5648" max="5650" width="8.44140625" style="96" customWidth="1"/>
    <col min="5651" max="5651" width="15.88671875" style="96" customWidth="1"/>
    <col min="5652" max="5888" width="9.109375" style="96"/>
    <col min="5889" max="5889" width="12.5546875" style="96" customWidth="1"/>
    <col min="5890" max="5902" width="8.44140625" style="96" customWidth="1"/>
    <col min="5903" max="5903" width="1.88671875" style="96" customWidth="1"/>
    <col min="5904" max="5906" width="8.44140625" style="96" customWidth="1"/>
    <col min="5907" max="5907" width="15.88671875" style="96" customWidth="1"/>
    <col min="5908" max="6144" width="9.109375" style="96"/>
    <col min="6145" max="6145" width="12.5546875" style="96" customWidth="1"/>
    <col min="6146" max="6158" width="8.44140625" style="96" customWidth="1"/>
    <col min="6159" max="6159" width="1.88671875" style="96" customWidth="1"/>
    <col min="6160" max="6162" width="8.44140625" style="96" customWidth="1"/>
    <col min="6163" max="6163" width="15.88671875" style="96" customWidth="1"/>
    <col min="6164" max="6400" width="9.109375" style="96"/>
    <col min="6401" max="6401" width="12.5546875" style="96" customWidth="1"/>
    <col min="6402" max="6414" width="8.44140625" style="96" customWidth="1"/>
    <col min="6415" max="6415" width="1.88671875" style="96" customWidth="1"/>
    <col min="6416" max="6418" width="8.44140625" style="96" customWidth="1"/>
    <col min="6419" max="6419" width="15.88671875" style="96" customWidth="1"/>
    <col min="6420" max="6656" width="9.109375" style="96"/>
    <col min="6657" max="6657" width="12.5546875" style="96" customWidth="1"/>
    <col min="6658" max="6670" width="8.44140625" style="96" customWidth="1"/>
    <col min="6671" max="6671" width="1.88671875" style="96" customWidth="1"/>
    <col min="6672" max="6674" width="8.44140625" style="96" customWidth="1"/>
    <col min="6675" max="6675" width="15.88671875" style="96" customWidth="1"/>
    <col min="6676" max="6912" width="9.109375" style="96"/>
    <col min="6913" max="6913" width="12.5546875" style="96" customWidth="1"/>
    <col min="6914" max="6926" width="8.44140625" style="96" customWidth="1"/>
    <col min="6927" max="6927" width="1.88671875" style="96" customWidth="1"/>
    <col min="6928" max="6930" width="8.44140625" style="96" customWidth="1"/>
    <col min="6931" max="6931" width="15.88671875" style="96" customWidth="1"/>
    <col min="6932" max="7168" width="9.109375" style="96"/>
    <col min="7169" max="7169" width="12.5546875" style="96" customWidth="1"/>
    <col min="7170" max="7182" width="8.44140625" style="96" customWidth="1"/>
    <col min="7183" max="7183" width="1.88671875" style="96" customWidth="1"/>
    <col min="7184" max="7186" width="8.44140625" style="96" customWidth="1"/>
    <col min="7187" max="7187" width="15.88671875" style="96" customWidth="1"/>
    <col min="7188" max="7424" width="9.109375" style="96"/>
    <col min="7425" max="7425" width="12.5546875" style="96" customWidth="1"/>
    <col min="7426" max="7438" width="8.44140625" style="96" customWidth="1"/>
    <col min="7439" max="7439" width="1.88671875" style="96" customWidth="1"/>
    <col min="7440" max="7442" width="8.44140625" style="96" customWidth="1"/>
    <col min="7443" max="7443" width="15.88671875" style="96" customWidth="1"/>
    <col min="7444" max="7680" width="9.109375" style="96"/>
    <col min="7681" max="7681" width="12.5546875" style="96" customWidth="1"/>
    <col min="7682" max="7694" width="8.44140625" style="96" customWidth="1"/>
    <col min="7695" max="7695" width="1.88671875" style="96" customWidth="1"/>
    <col min="7696" max="7698" width="8.44140625" style="96" customWidth="1"/>
    <col min="7699" max="7699" width="15.88671875" style="96" customWidth="1"/>
    <col min="7700" max="7936" width="9.109375" style="96"/>
    <col min="7937" max="7937" width="12.5546875" style="96" customWidth="1"/>
    <col min="7938" max="7950" width="8.44140625" style="96" customWidth="1"/>
    <col min="7951" max="7951" width="1.88671875" style="96" customWidth="1"/>
    <col min="7952" max="7954" width="8.44140625" style="96" customWidth="1"/>
    <col min="7955" max="7955" width="15.88671875" style="96" customWidth="1"/>
    <col min="7956" max="8192" width="9.109375" style="96"/>
    <col min="8193" max="8193" width="12.5546875" style="96" customWidth="1"/>
    <col min="8194" max="8206" width="8.44140625" style="96" customWidth="1"/>
    <col min="8207" max="8207" width="1.88671875" style="96" customWidth="1"/>
    <col min="8208" max="8210" width="8.44140625" style="96" customWidth="1"/>
    <col min="8211" max="8211" width="15.88671875" style="96" customWidth="1"/>
    <col min="8212" max="8448" width="9.109375" style="96"/>
    <col min="8449" max="8449" width="12.5546875" style="96" customWidth="1"/>
    <col min="8450" max="8462" width="8.44140625" style="96" customWidth="1"/>
    <col min="8463" max="8463" width="1.88671875" style="96" customWidth="1"/>
    <col min="8464" max="8466" width="8.44140625" style="96" customWidth="1"/>
    <col min="8467" max="8467" width="15.88671875" style="96" customWidth="1"/>
    <col min="8468" max="8704" width="9.109375" style="96"/>
    <col min="8705" max="8705" width="12.5546875" style="96" customWidth="1"/>
    <col min="8706" max="8718" width="8.44140625" style="96" customWidth="1"/>
    <col min="8719" max="8719" width="1.88671875" style="96" customWidth="1"/>
    <col min="8720" max="8722" width="8.44140625" style="96" customWidth="1"/>
    <col min="8723" max="8723" width="15.88671875" style="96" customWidth="1"/>
    <col min="8724" max="8960" width="9.109375" style="96"/>
    <col min="8961" max="8961" width="12.5546875" style="96" customWidth="1"/>
    <col min="8962" max="8974" width="8.44140625" style="96" customWidth="1"/>
    <col min="8975" max="8975" width="1.88671875" style="96" customWidth="1"/>
    <col min="8976" max="8978" width="8.44140625" style="96" customWidth="1"/>
    <col min="8979" max="8979" width="15.88671875" style="96" customWidth="1"/>
    <col min="8980" max="9216" width="9.109375" style="96"/>
    <col min="9217" max="9217" width="12.5546875" style="96" customWidth="1"/>
    <col min="9218" max="9230" width="8.44140625" style="96" customWidth="1"/>
    <col min="9231" max="9231" width="1.88671875" style="96" customWidth="1"/>
    <col min="9232" max="9234" width="8.44140625" style="96" customWidth="1"/>
    <col min="9235" max="9235" width="15.88671875" style="96" customWidth="1"/>
    <col min="9236" max="9472" width="9.109375" style="96"/>
    <col min="9473" max="9473" width="12.5546875" style="96" customWidth="1"/>
    <col min="9474" max="9486" width="8.44140625" style="96" customWidth="1"/>
    <col min="9487" max="9487" width="1.88671875" style="96" customWidth="1"/>
    <col min="9488" max="9490" width="8.44140625" style="96" customWidth="1"/>
    <col min="9491" max="9491" width="15.88671875" style="96" customWidth="1"/>
    <col min="9492" max="9728" width="9.109375" style="96"/>
    <col min="9729" max="9729" width="12.5546875" style="96" customWidth="1"/>
    <col min="9730" max="9742" width="8.44140625" style="96" customWidth="1"/>
    <col min="9743" max="9743" width="1.88671875" style="96" customWidth="1"/>
    <col min="9744" max="9746" width="8.44140625" style="96" customWidth="1"/>
    <col min="9747" max="9747" width="15.88671875" style="96" customWidth="1"/>
    <col min="9748" max="9984" width="9.109375" style="96"/>
    <col min="9985" max="9985" width="12.5546875" style="96" customWidth="1"/>
    <col min="9986" max="9998" width="8.44140625" style="96" customWidth="1"/>
    <col min="9999" max="9999" width="1.88671875" style="96" customWidth="1"/>
    <col min="10000" max="10002" width="8.44140625" style="96" customWidth="1"/>
    <col min="10003" max="10003" width="15.88671875" style="96" customWidth="1"/>
    <col min="10004" max="10240" width="9.109375" style="96"/>
    <col min="10241" max="10241" width="12.5546875" style="96" customWidth="1"/>
    <col min="10242" max="10254" width="8.44140625" style="96" customWidth="1"/>
    <col min="10255" max="10255" width="1.88671875" style="96" customWidth="1"/>
    <col min="10256" max="10258" width="8.44140625" style="96" customWidth="1"/>
    <col min="10259" max="10259" width="15.88671875" style="96" customWidth="1"/>
    <col min="10260" max="10496" width="9.109375" style="96"/>
    <col min="10497" max="10497" width="12.5546875" style="96" customWidth="1"/>
    <col min="10498" max="10510" width="8.44140625" style="96" customWidth="1"/>
    <col min="10511" max="10511" width="1.88671875" style="96" customWidth="1"/>
    <col min="10512" max="10514" width="8.44140625" style="96" customWidth="1"/>
    <col min="10515" max="10515" width="15.88671875" style="96" customWidth="1"/>
    <col min="10516" max="10752" width="9.109375" style="96"/>
    <col min="10753" max="10753" width="12.5546875" style="96" customWidth="1"/>
    <col min="10754" max="10766" width="8.44140625" style="96" customWidth="1"/>
    <col min="10767" max="10767" width="1.88671875" style="96" customWidth="1"/>
    <col min="10768" max="10770" width="8.44140625" style="96" customWidth="1"/>
    <col min="10771" max="10771" width="15.88671875" style="96" customWidth="1"/>
    <col min="10772" max="11008" width="9.109375" style="96"/>
    <col min="11009" max="11009" width="12.5546875" style="96" customWidth="1"/>
    <col min="11010" max="11022" width="8.44140625" style="96" customWidth="1"/>
    <col min="11023" max="11023" width="1.88671875" style="96" customWidth="1"/>
    <col min="11024" max="11026" width="8.44140625" style="96" customWidth="1"/>
    <col min="11027" max="11027" width="15.88671875" style="96" customWidth="1"/>
    <col min="11028" max="11264" width="9.109375" style="96"/>
    <col min="11265" max="11265" width="12.5546875" style="96" customWidth="1"/>
    <col min="11266" max="11278" width="8.44140625" style="96" customWidth="1"/>
    <col min="11279" max="11279" width="1.88671875" style="96" customWidth="1"/>
    <col min="11280" max="11282" width="8.44140625" style="96" customWidth="1"/>
    <col min="11283" max="11283" width="15.88671875" style="96" customWidth="1"/>
    <col min="11284" max="11520" width="9.109375" style="96"/>
    <col min="11521" max="11521" width="12.5546875" style="96" customWidth="1"/>
    <col min="11522" max="11534" width="8.44140625" style="96" customWidth="1"/>
    <col min="11535" max="11535" width="1.88671875" style="96" customWidth="1"/>
    <col min="11536" max="11538" width="8.44140625" style="96" customWidth="1"/>
    <col min="11539" max="11539" width="15.88671875" style="96" customWidth="1"/>
    <col min="11540" max="11776" width="9.109375" style="96"/>
    <col min="11777" max="11777" width="12.5546875" style="96" customWidth="1"/>
    <col min="11778" max="11790" width="8.44140625" style="96" customWidth="1"/>
    <col min="11791" max="11791" width="1.88671875" style="96" customWidth="1"/>
    <col min="11792" max="11794" width="8.44140625" style="96" customWidth="1"/>
    <col min="11795" max="11795" width="15.88671875" style="96" customWidth="1"/>
    <col min="11796" max="12032" width="9.109375" style="96"/>
    <col min="12033" max="12033" width="12.5546875" style="96" customWidth="1"/>
    <col min="12034" max="12046" width="8.44140625" style="96" customWidth="1"/>
    <col min="12047" max="12047" width="1.88671875" style="96" customWidth="1"/>
    <col min="12048" max="12050" width="8.44140625" style="96" customWidth="1"/>
    <col min="12051" max="12051" width="15.88671875" style="96" customWidth="1"/>
    <col min="12052" max="12288" width="9.109375" style="96"/>
    <col min="12289" max="12289" width="12.5546875" style="96" customWidth="1"/>
    <col min="12290" max="12302" width="8.44140625" style="96" customWidth="1"/>
    <col min="12303" max="12303" width="1.88671875" style="96" customWidth="1"/>
    <col min="12304" max="12306" width="8.44140625" style="96" customWidth="1"/>
    <col min="12307" max="12307" width="15.88671875" style="96" customWidth="1"/>
    <col min="12308" max="12544" width="9.109375" style="96"/>
    <col min="12545" max="12545" width="12.5546875" style="96" customWidth="1"/>
    <col min="12546" max="12558" width="8.44140625" style="96" customWidth="1"/>
    <col min="12559" max="12559" width="1.88671875" style="96" customWidth="1"/>
    <col min="12560" max="12562" width="8.44140625" style="96" customWidth="1"/>
    <col min="12563" max="12563" width="15.88671875" style="96" customWidth="1"/>
    <col min="12564" max="12800" width="9.109375" style="96"/>
    <col min="12801" max="12801" width="12.5546875" style="96" customWidth="1"/>
    <col min="12802" max="12814" width="8.44140625" style="96" customWidth="1"/>
    <col min="12815" max="12815" width="1.88671875" style="96" customWidth="1"/>
    <col min="12816" max="12818" width="8.44140625" style="96" customWidth="1"/>
    <col min="12819" max="12819" width="15.88671875" style="96" customWidth="1"/>
    <col min="12820" max="13056" width="9.109375" style="96"/>
    <col min="13057" max="13057" width="12.5546875" style="96" customWidth="1"/>
    <col min="13058" max="13070" width="8.44140625" style="96" customWidth="1"/>
    <col min="13071" max="13071" width="1.88671875" style="96" customWidth="1"/>
    <col min="13072" max="13074" width="8.44140625" style="96" customWidth="1"/>
    <col min="13075" max="13075" width="15.88671875" style="96" customWidth="1"/>
    <col min="13076" max="13312" width="9.109375" style="96"/>
    <col min="13313" max="13313" width="12.5546875" style="96" customWidth="1"/>
    <col min="13314" max="13326" width="8.44140625" style="96" customWidth="1"/>
    <col min="13327" max="13327" width="1.88671875" style="96" customWidth="1"/>
    <col min="13328" max="13330" width="8.44140625" style="96" customWidth="1"/>
    <col min="13331" max="13331" width="15.88671875" style="96" customWidth="1"/>
    <col min="13332" max="13568" width="9.109375" style="96"/>
    <col min="13569" max="13569" width="12.5546875" style="96" customWidth="1"/>
    <col min="13570" max="13582" width="8.44140625" style="96" customWidth="1"/>
    <col min="13583" max="13583" width="1.88671875" style="96" customWidth="1"/>
    <col min="13584" max="13586" width="8.44140625" style="96" customWidth="1"/>
    <col min="13587" max="13587" width="15.88671875" style="96" customWidth="1"/>
    <col min="13588" max="13824" width="9.109375" style="96"/>
    <col min="13825" max="13825" width="12.5546875" style="96" customWidth="1"/>
    <col min="13826" max="13838" width="8.44140625" style="96" customWidth="1"/>
    <col min="13839" max="13839" width="1.88671875" style="96" customWidth="1"/>
    <col min="13840" max="13842" width="8.44140625" style="96" customWidth="1"/>
    <col min="13843" max="13843" width="15.88671875" style="96" customWidth="1"/>
    <col min="13844" max="14080" width="9.109375" style="96"/>
    <col min="14081" max="14081" width="12.5546875" style="96" customWidth="1"/>
    <col min="14082" max="14094" width="8.44140625" style="96" customWidth="1"/>
    <col min="14095" max="14095" width="1.88671875" style="96" customWidth="1"/>
    <col min="14096" max="14098" width="8.44140625" style="96" customWidth="1"/>
    <col min="14099" max="14099" width="15.88671875" style="96" customWidth="1"/>
    <col min="14100" max="14336" width="9.109375" style="96"/>
    <col min="14337" max="14337" width="12.5546875" style="96" customWidth="1"/>
    <col min="14338" max="14350" width="8.44140625" style="96" customWidth="1"/>
    <col min="14351" max="14351" width="1.88671875" style="96" customWidth="1"/>
    <col min="14352" max="14354" width="8.44140625" style="96" customWidth="1"/>
    <col min="14355" max="14355" width="15.88671875" style="96" customWidth="1"/>
    <col min="14356" max="14592" width="9.109375" style="96"/>
    <col min="14593" max="14593" width="12.5546875" style="96" customWidth="1"/>
    <col min="14594" max="14606" width="8.44140625" style="96" customWidth="1"/>
    <col min="14607" max="14607" width="1.88671875" style="96" customWidth="1"/>
    <col min="14608" max="14610" width="8.44140625" style="96" customWidth="1"/>
    <col min="14611" max="14611" width="15.88671875" style="96" customWidth="1"/>
    <col min="14612" max="14848" width="9.109375" style="96"/>
    <col min="14849" max="14849" width="12.5546875" style="96" customWidth="1"/>
    <col min="14850" max="14862" width="8.44140625" style="96" customWidth="1"/>
    <col min="14863" max="14863" width="1.88671875" style="96" customWidth="1"/>
    <col min="14864" max="14866" width="8.44140625" style="96" customWidth="1"/>
    <col min="14867" max="14867" width="15.88671875" style="96" customWidth="1"/>
    <col min="14868" max="15104" width="9.109375" style="96"/>
    <col min="15105" max="15105" width="12.5546875" style="96" customWidth="1"/>
    <col min="15106" max="15118" width="8.44140625" style="96" customWidth="1"/>
    <col min="15119" max="15119" width="1.88671875" style="96" customWidth="1"/>
    <col min="15120" max="15122" width="8.44140625" style="96" customWidth="1"/>
    <col min="15123" max="15123" width="15.88671875" style="96" customWidth="1"/>
    <col min="15124" max="15360" width="9.109375" style="96"/>
    <col min="15361" max="15361" width="12.5546875" style="96" customWidth="1"/>
    <col min="15362" max="15374" width="8.44140625" style="96" customWidth="1"/>
    <col min="15375" max="15375" width="1.88671875" style="96" customWidth="1"/>
    <col min="15376" max="15378" width="8.44140625" style="96" customWidth="1"/>
    <col min="15379" max="15379" width="15.88671875" style="96" customWidth="1"/>
    <col min="15380" max="15616" width="9.109375" style="96"/>
    <col min="15617" max="15617" width="12.5546875" style="96" customWidth="1"/>
    <col min="15618" max="15630" width="8.44140625" style="96" customWidth="1"/>
    <col min="15631" max="15631" width="1.88671875" style="96" customWidth="1"/>
    <col min="15632" max="15634" width="8.44140625" style="96" customWidth="1"/>
    <col min="15635" max="15635" width="15.88671875" style="96" customWidth="1"/>
    <col min="15636" max="15872" width="9.109375" style="96"/>
    <col min="15873" max="15873" width="12.5546875" style="96" customWidth="1"/>
    <col min="15874" max="15886" width="8.44140625" style="96" customWidth="1"/>
    <col min="15887" max="15887" width="1.88671875" style="96" customWidth="1"/>
    <col min="15888" max="15890" width="8.44140625" style="96" customWidth="1"/>
    <col min="15891" max="15891" width="15.88671875" style="96" customWidth="1"/>
    <col min="15892" max="16128" width="9.109375" style="96"/>
    <col min="16129" max="16129" width="12.5546875" style="96" customWidth="1"/>
    <col min="16130" max="16142" width="8.44140625" style="96" customWidth="1"/>
    <col min="16143" max="16143" width="1.88671875" style="96" customWidth="1"/>
    <col min="16144" max="16146" width="8.44140625" style="96" customWidth="1"/>
    <col min="16147" max="16147" width="15.88671875" style="96" customWidth="1"/>
    <col min="16148" max="16384" width="9.109375" style="96"/>
  </cols>
  <sheetData>
    <row r="2" spans="1:19" ht="21" x14ac:dyDescent="0.4">
      <c r="A2" s="98" t="s">
        <v>74</v>
      </c>
    </row>
    <row r="3" spans="1:19" ht="15" x14ac:dyDescent="0.25">
      <c r="A3" s="99" t="s">
        <v>85</v>
      </c>
    </row>
    <row r="4" spans="1:19" ht="15" x14ac:dyDescent="0.25">
      <c r="A4" s="99"/>
    </row>
    <row r="5" spans="1:19" ht="13.2" x14ac:dyDescent="0.25">
      <c r="A5" s="100" t="s">
        <v>76</v>
      </c>
      <c r="C5" s="101">
        <v>42522</v>
      </c>
    </row>
    <row r="6" spans="1:19" x14ac:dyDescent="0.2">
      <c r="A6" s="102"/>
      <c r="C6" s="103"/>
      <c r="H6" s="102" t="s">
        <v>77</v>
      </c>
      <c r="Q6" s="102"/>
    </row>
    <row r="7" spans="1:19" s="108" customFormat="1" ht="20.399999999999999" x14ac:dyDescent="0.2">
      <c r="A7" s="104"/>
      <c r="B7" s="105">
        <f>C5</f>
        <v>42522</v>
      </c>
      <c r="C7" s="105">
        <f>DATE(YEAR(B7),MONTH(B7)+1,1)</f>
        <v>42552</v>
      </c>
      <c r="D7" s="105">
        <f>DATE(YEAR(C7),MONTH(C7)+1,1)</f>
        <v>42583</v>
      </c>
      <c r="E7" s="105">
        <f t="shared" ref="E7:M7" si="0">DATE(YEAR(D7),MONTH(D7)+1,1)</f>
        <v>42614</v>
      </c>
      <c r="F7" s="105">
        <f t="shared" si="0"/>
        <v>42644</v>
      </c>
      <c r="G7" s="105">
        <f t="shared" si="0"/>
        <v>42675</v>
      </c>
      <c r="H7" s="105">
        <f t="shared" si="0"/>
        <v>42705</v>
      </c>
      <c r="I7" s="105">
        <f t="shared" si="0"/>
        <v>42736</v>
      </c>
      <c r="J7" s="105">
        <f t="shared" si="0"/>
        <v>42767</v>
      </c>
      <c r="K7" s="105">
        <f t="shared" si="0"/>
        <v>42795</v>
      </c>
      <c r="L7" s="105">
        <f t="shared" si="0"/>
        <v>42826</v>
      </c>
      <c r="M7" s="105">
        <f t="shared" si="0"/>
        <v>42856</v>
      </c>
      <c r="N7" s="106" t="s">
        <v>78</v>
      </c>
      <c r="O7" s="107"/>
      <c r="P7" s="130"/>
      <c r="Q7" s="131"/>
      <c r="R7" s="131"/>
      <c r="S7" s="131"/>
    </row>
    <row r="8" spans="1:19" x14ac:dyDescent="0.2">
      <c r="A8" s="109" t="s">
        <v>79</v>
      </c>
      <c r="B8" s="110">
        <v>50</v>
      </c>
      <c r="C8" s="110">
        <v>50</v>
      </c>
      <c r="D8" s="110">
        <v>200</v>
      </c>
      <c r="E8" s="110">
        <v>300</v>
      </c>
      <c r="F8" s="110">
        <v>350</v>
      </c>
      <c r="G8" s="110">
        <v>300</v>
      </c>
      <c r="H8" s="110">
        <v>350</v>
      </c>
      <c r="I8" s="110">
        <v>150</v>
      </c>
      <c r="J8" s="110">
        <v>250</v>
      </c>
      <c r="K8" s="110">
        <v>350</v>
      </c>
      <c r="L8" s="110">
        <v>300</v>
      </c>
      <c r="M8" s="110">
        <v>400</v>
      </c>
      <c r="N8" s="111">
        <f>SUM(B8:M8)</f>
        <v>3050</v>
      </c>
      <c r="O8" s="112"/>
      <c r="P8" s="132"/>
      <c r="Q8" s="132"/>
      <c r="R8" s="132"/>
      <c r="S8" s="132"/>
    </row>
    <row r="9" spans="1:19" x14ac:dyDescent="0.2">
      <c r="A9" s="113" t="s">
        <v>80</v>
      </c>
      <c r="B9" s="114">
        <v>3</v>
      </c>
      <c r="C9" s="114">
        <v>3</v>
      </c>
      <c r="D9" s="114">
        <v>3</v>
      </c>
      <c r="E9" s="114">
        <v>3</v>
      </c>
      <c r="F9" s="114">
        <v>3</v>
      </c>
      <c r="G9" s="114">
        <v>3</v>
      </c>
      <c r="H9" s="114">
        <v>3</v>
      </c>
      <c r="I9" s="114">
        <v>3</v>
      </c>
      <c r="J9" s="114">
        <v>3</v>
      </c>
      <c r="K9" s="114">
        <v>3</v>
      </c>
      <c r="L9" s="114">
        <v>3</v>
      </c>
      <c r="M9" s="114">
        <v>3</v>
      </c>
      <c r="N9" s="115"/>
      <c r="O9" s="116"/>
      <c r="P9" s="133"/>
      <c r="Q9" s="133"/>
      <c r="R9" s="133"/>
      <c r="S9" s="133"/>
    </row>
    <row r="10" spans="1:19" x14ac:dyDescent="0.2">
      <c r="A10" s="117" t="s">
        <v>81</v>
      </c>
      <c r="B10" s="118">
        <f>B8*B9</f>
        <v>150</v>
      </c>
      <c r="C10" s="118">
        <f>C8*C9</f>
        <v>150</v>
      </c>
      <c r="D10" s="118">
        <f t="shared" ref="D10:M10" si="1">D8*D9</f>
        <v>600</v>
      </c>
      <c r="E10" s="118">
        <f t="shared" si="1"/>
        <v>900</v>
      </c>
      <c r="F10" s="118">
        <f t="shared" si="1"/>
        <v>1050</v>
      </c>
      <c r="G10" s="118">
        <f t="shared" si="1"/>
        <v>900</v>
      </c>
      <c r="H10" s="118">
        <f t="shared" si="1"/>
        <v>1050</v>
      </c>
      <c r="I10" s="118">
        <f t="shared" si="1"/>
        <v>450</v>
      </c>
      <c r="J10" s="118">
        <f t="shared" si="1"/>
        <v>750</v>
      </c>
      <c r="K10" s="118">
        <f t="shared" si="1"/>
        <v>1050</v>
      </c>
      <c r="L10" s="118">
        <f t="shared" si="1"/>
        <v>900</v>
      </c>
      <c r="M10" s="118">
        <f t="shared" si="1"/>
        <v>1200</v>
      </c>
      <c r="N10" s="119">
        <f>SUM(B10:M10)</f>
        <v>9150</v>
      </c>
      <c r="O10" s="116"/>
      <c r="P10" s="134"/>
      <c r="Q10" s="134"/>
      <c r="R10" s="134"/>
      <c r="S10" s="134"/>
    </row>
    <row r="11" spans="1:19" x14ac:dyDescent="0.2">
      <c r="A11" s="120"/>
      <c r="B11" s="116"/>
      <c r="C11" s="116"/>
      <c r="D11" s="116"/>
      <c r="E11" s="116"/>
      <c r="F11" s="116"/>
      <c r="G11" s="116"/>
      <c r="H11" s="116"/>
      <c r="I11" s="116"/>
      <c r="J11" s="116"/>
      <c r="K11" s="116"/>
      <c r="L11" s="116"/>
      <c r="M11" s="116"/>
      <c r="N11" s="121"/>
      <c r="O11" s="116"/>
      <c r="P11" s="134"/>
      <c r="Q11" s="134"/>
      <c r="R11" s="134"/>
      <c r="S11" s="134"/>
    </row>
    <row r="12" spans="1:19" x14ac:dyDescent="0.2">
      <c r="A12" s="113" t="s">
        <v>82</v>
      </c>
      <c r="B12" s="122">
        <v>1</v>
      </c>
      <c r="C12" s="122">
        <v>1</v>
      </c>
      <c r="D12" s="122">
        <v>4</v>
      </c>
      <c r="E12" s="122">
        <v>6</v>
      </c>
      <c r="F12" s="122">
        <v>7</v>
      </c>
      <c r="G12" s="122">
        <v>6</v>
      </c>
      <c r="H12" s="122">
        <v>7</v>
      </c>
      <c r="I12" s="122">
        <v>3</v>
      </c>
      <c r="J12" s="122">
        <v>5</v>
      </c>
      <c r="K12" s="122">
        <v>7</v>
      </c>
      <c r="L12" s="122">
        <v>6</v>
      </c>
      <c r="M12" s="122">
        <v>8</v>
      </c>
      <c r="N12" s="111">
        <f>SUM(B12:M12)</f>
        <v>61</v>
      </c>
      <c r="O12" s="123"/>
      <c r="P12" s="135"/>
      <c r="Q12" s="135"/>
      <c r="R12" s="135"/>
      <c r="S12" s="135"/>
    </row>
    <row r="13" spans="1:19" x14ac:dyDescent="0.2">
      <c r="A13" s="113" t="s">
        <v>80</v>
      </c>
      <c r="B13" s="114">
        <v>35</v>
      </c>
      <c r="C13" s="114">
        <v>35</v>
      </c>
      <c r="D13" s="114">
        <v>35</v>
      </c>
      <c r="E13" s="114">
        <v>35</v>
      </c>
      <c r="F13" s="114">
        <v>35</v>
      </c>
      <c r="G13" s="114">
        <v>35</v>
      </c>
      <c r="H13" s="114">
        <v>35</v>
      </c>
      <c r="I13" s="114">
        <v>35</v>
      </c>
      <c r="J13" s="114">
        <v>35</v>
      </c>
      <c r="K13" s="114">
        <v>35</v>
      </c>
      <c r="L13" s="114">
        <v>35</v>
      </c>
      <c r="M13" s="114">
        <v>35</v>
      </c>
      <c r="N13" s="115"/>
      <c r="O13" s="116"/>
      <c r="P13" s="133"/>
      <c r="Q13" s="133"/>
      <c r="R13" s="133"/>
      <c r="S13" s="133"/>
    </row>
    <row r="14" spans="1:19" x14ac:dyDescent="0.2">
      <c r="A14" s="117" t="s">
        <v>83</v>
      </c>
      <c r="B14" s="124">
        <f>B12*B13</f>
        <v>35</v>
      </c>
      <c r="C14" s="124">
        <f t="shared" ref="C14:M14" si="2">C12*C13</f>
        <v>35</v>
      </c>
      <c r="D14" s="124">
        <f t="shared" si="2"/>
        <v>140</v>
      </c>
      <c r="E14" s="124">
        <f t="shared" si="2"/>
        <v>210</v>
      </c>
      <c r="F14" s="124">
        <f t="shared" si="2"/>
        <v>245</v>
      </c>
      <c r="G14" s="124">
        <f t="shared" si="2"/>
        <v>210</v>
      </c>
      <c r="H14" s="124">
        <f t="shared" si="2"/>
        <v>245</v>
      </c>
      <c r="I14" s="124">
        <f t="shared" si="2"/>
        <v>105</v>
      </c>
      <c r="J14" s="124">
        <f t="shared" si="2"/>
        <v>175</v>
      </c>
      <c r="K14" s="124">
        <f t="shared" si="2"/>
        <v>245</v>
      </c>
      <c r="L14" s="124">
        <f t="shared" si="2"/>
        <v>210</v>
      </c>
      <c r="M14" s="124">
        <f t="shared" si="2"/>
        <v>280</v>
      </c>
      <c r="N14" s="119">
        <f>SUM(B14:M14)</f>
        <v>2135</v>
      </c>
      <c r="O14" s="116"/>
      <c r="P14" s="134"/>
      <c r="Q14" s="134"/>
      <c r="R14" s="134"/>
      <c r="S14" s="134"/>
    </row>
    <row r="15" spans="1:19" x14ac:dyDescent="0.2">
      <c r="A15" s="120"/>
      <c r="B15" s="116"/>
      <c r="C15" s="116"/>
      <c r="D15" s="116"/>
      <c r="E15" s="116"/>
      <c r="F15" s="116"/>
      <c r="G15" s="116"/>
      <c r="H15" s="116"/>
      <c r="I15" s="116"/>
      <c r="J15" s="116"/>
      <c r="K15" s="116"/>
      <c r="L15" s="116"/>
      <c r="M15" s="116"/>
      <c r="N15" s="121"/>
      <c r="O15" s="116"/>
      <c r="P15" s="134"/>
      <c r="Q15" s="134"/>
      <c r="R15" s="134"/>
      <c r="S15" s="134"/>
    </row>
    <row r="16" spans="1:19" s="127" customFormat="1" ht="20.399999999999999" x14ac:dyDescent="0.2">
      <c r="A16" s="125" t="s">
        <v>84</v>
      </c>
      <c r="B16" s="126">
        <f>B10+B14</f>
        <v>185</v>
      </c>
      <c r="C16" s="126">
        <f t="shared" ref="C16:N16" si="3">C10+C14</f>
        <v>185</v>
      </c>
      <c r="D16" s="126">
        <f t="shared" si="3"/>
        <v>740</v>
      </c>
      <c r="E16" s="126">
        <f t="shared" si="3"/>
        <v>1110</v>
      </c>
      <c r="F16" s="126">
        <f t="shared" si="3"/>
        <v>1295</v>
      </c>
      <c r="G16" s="126">
        <f t="shared" si="3"/>
        <v>1110</v>
      </c>
      <c r="H16" s="126">
        <f t="shared" si="3"/>
        <v>1295</v>
      </c>
      <c r="I16" s="126">
        <f t="shared" si="3"/>
        <v>555</v>
      </c>
      <c r="J16" s="126">
        <f t="shared" si="3"/>
        <v>925</v>
      </c>
      <c r="K16" s="126">
        <f t="shared" si="3"/>
        <v>1295</v>
      </c>
      <c r="L16" s="126">
        <f t="shared" si="3"/>
        <v>1110</v>
      </c>
      <c r="M16" s="126">
        <f t="shared" si="3"/>
        <v>1480</v>
      </c>
      <c r="N16" s="126">
        <f t="shared" si="3"/>
        <v>11285</v>
      </c>
      <c r="O16" s="116"/>
      <c r="P16" s="134"/>
      <c r="Q16" s="134"/>
      <c r="R16" s="134"/>
      <c r="S16" s="134"/>
    </row>
    <row r="17" spans="1:19" x14ac:dyDescent="0.2">
      <c r="A17" s="128"/>
      <c r="B17" s="128"/>
      <c r="C17" s="128"/>
      <c r="D17" s="128"/>
      <c r="E17" s="128"/>
      <c r="F17" s="128"/>
      <c r="G17" s="128"/>
      <c r="H17" s="128"/>
      <c r="I17" s="128"/>
      <c r="J17" s="128"/>
      <c r="K17" s="128"/>
      <c r="L17" s="128"/>
      <c r="M17" s="128"/>
      <c r="N17" s="129"/>
      <c r="O17" s="128"/>
      <c r="P17" s="128"/>
      <c r="Q17" s="128"/>
      <c r="R17" s="128"/>
      <c r="S17" s="128"/>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Annual Marketing Budget</vt:lpstr>
      <vt:lpstr>PnL Projection</vt:lpstr>
      <vt:lpstr>12 month Cash Flow</vt:lpstr>
      <vt:lpstr>Balance Sheet</vt:lpstr>
      <vt:lpstr>Breakeven Analysis</vt:lpstr>
      <vt:lpstr>Sales Forecast</vt:lpstr>
    </vt:vector>
  </TitlesOfParts>
  <Company>DNA Marketing,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Marketing Budget Template</dc:title>
  <dc:creator>K. Halmekangas</dc:creator>
  <cp:keywords>marketing, budget, annual budget, template</cp:keywords>
  <dc:description>For questions or more information on how to use this template, write to kimh@dnamarketinginc.com</dc:description>
  <cp:lastModifiedBy>checkout</cp:lastModifiedBy>
  <cp:lastPrinted>2006-08-21T14:43:57Z</cp:lastPrinted>
  <dcterms:created xsi:type="dcterms:W3CDTF">2002-09-30T22:02:57Z</dcterms:created>
  <dcterms:modified xsi:type="dcterms:W3CDTF">2026-03-30T04:10:21Z</dcterms:modified>
  <cp:category>Tools &amp; Templates</cp:category>
</cp:coreProperties>
</file>